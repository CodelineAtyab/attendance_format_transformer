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OneDrive\Documents\DuoML\workingArea\CodelineTraining\"/>
    </mc:Choice>
  </mc:AlternateContent>
  <xr:revisionPtr revIDLastSave="0" documentId="8_{39AD84AE-DDC4-405F-ADAA-C0051DFCB9F9}" xr6:coauthVersionLast="47" xr6:coauthVersionMax="47" xr10:uidLastSave="{00000000-0000-0000-0000-000000000000}"/>
  <bookViews>
    <workbookView xWindow="-110" yWindow="-110" windowWidth="19420" windowHeight="11500" firstSheet="1" activeTab="1" xr2:uid="{00000000-000D-0000-FFFF-FFFF00000000}"/>
  </bookViews>
  <sheets>
    <sheet name="Helper" sheetId="1" r:id="rId1"/>
    <sheet name="April" sheetId="20" r:id="rId2"/>
    <sheet name="March" sheetId="19" r:id="rId3"/>
    <sheet name="February" sheetId="15" r:id="rId4"/>
    <sheet name="SickLeaves" sheetId="17" r:id="rId5"/>
  </sheets>
  <definedNames>
    <definedName name="_xleta.N" hidden="1" xlm="1">#NAME?</definedName>
    <definedName name="Holidays">Helper!$H$2:$H$11</definedName>
    <definedName name="Holidayss">Helper!$C$2:$C$11</definedName>
    <definedName name="Months">Helper!$A$2:$A$14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0" l="1"/>
  <c r="F2" i="19"/>
  <c r="AK22" i="15" a="1"/>
  <c r="AK22" i="15" s="1"/>
  <c r="AK23" i="15" a="1"/>
  <c r="AK23" i="15" s="1"/>
  <c r="AK24" i="15" a="1"/>
  <c r="AK24" i="15" s="1"/>
  <c r="AK25" i="15" a="1"/>
  <c r="AK25" i="15" s="1"/>
  <c r="AJ22" i="15" a="1"/>
  <c r="AJ22" i="15" s="1"/>
  <c r="AJ23" i="15" a="1"/>
  <c r="AJ23" i="15" s="1"/>
  <c r="AJ24" i="15" a="1"/>
  <c r="AJ24" i="15" s="1"/>
  <c r="AJ25" i="15" a="1"/>
  <c r="AJ25" i="15" s="1"/>
  <c r="AI22" i="15" a="1"/>
  <c r="AI22" i="15" s="1"/>
  <c r="AM22" i="15" s="1"/>
  <c r="AI23" i="15" a="1"/>
  <c r="AI23" i="15" s="1"/>
  <c r="AM23" i="15" s="1"/>
  <c r="AI24" i="15" a="1"/>
  <c r="AI24" i="15" s="1"/>
  <c r="AM24" i="15" s="1"/>
  <c r="AI25" i="15" a="1"/>
  <c r="AI25" i="15" s="1"/>
  <c r="AM25" i="15" s="1"/>
  <c r="AH25" i="15" a="1"/>
  <c r="AH25" i="15" s="1"/>
  <c r="AL25" i="15" s="1"/>
  <c r="F2" i="15"/>
  <c r="N2" i="15" s="1"/>
  <c r="C6" i="20" l="1"/>
  <c r="N2" i="20"/>
  <c r="C6" i="19"/>
  <c r="N2" i="19"/>
  <c r="C6" i="15"/>
  <c r="D6" i="20" l="1"/>
  <c r="C5" i="20"/>
  <c r="C4" i="20"/>
  <c r="D6" i="19"/>
  <c r="C5" i="19"/>
  <c r="C4" i="19"/>
  <c r="C4" i="15"/>
  <c r="D6" i="15"/>
  <c r="C5" i="15"/>
  <c r="E6" i="20" l="1"/>
  <c r="D5" i="20"/>
  <c r="D4" i="20"/>
  <c r="E6" i="19"/>
  <c r="D5" i="19"/>
  <c r="D4" i="19"/>
  <c r="D5" i="15"/>
  <c r="D4" i="15"/>
  <c r="E6" i="15"/>
  <c r="F6" i="20" l="1"/>
  <c r="E5" i="20"/>
  <c r="E4" i="20"/>
  <c r="F6" i="19"/>
  <c r="E5" i="19"/>
  <c r="E4" i="19"/>
  <c r="F6" i="15"/>
  <c r="E4" i="15"/>
  <c r="E5" i="15"/>
  <c r="G6" i="20" l="1"/>
  <c r="F5" i="20"/>
  <c r="F4" i="20"/>
  <c r="G6" i="19"/>
  <c r="F5" i="19"/>
  <c r="F4" i="19"/>
  <c r="G6" i="15"/>
  <c r="F4" i="15"/>
  <c r="F5" i="15"/>
  <c r="H6" i="20" l="1"/>
  <c r="G5" i="20"/>
  <c r="G4" i="20"/>
  <c r="H6" i="19"/>
  <c r="G5" i="19"/>
  <c r="G4" i="19"/>
  <c r="G4" i="15"/>
  <c r="H6" i="15"/>
  <c r="G5" i="15"/>
  <c r="I6" i="20" l="1"/>
  <c r="H5" i="20"/>
  <c r="H4" i="20"/>
  <c r="I6" i="19"/>
  <c r="H5" i="19"/>
  <c r="H4" i="19"/>
  <c r="I6" i="15"/>
  <c r="H5" i="15"/>
  <c r="H4" i="15"/>
  <c r="J6" i="20" l="1"/>
  <c r="I5" i="20"/>
  <c r="I4" i="20"/>
  <c r="J6" i="19"/>
  <c r="I5" i="19"/>
  <c r="I4" i="19"/>
  <c r="I5" i="15"/>
  <c r="I4" i="15"/>
  <c r="J6" i="15"/>
  <c r="K6" i="20" l="1"/>
  <c r="J5" i="20"/>
  <c r="J4" i="20"/>
  <c r="K6" i="19"/>
  <c r="J5" i="19"/>
  <c r="J4" i="19"/>
  <c r="J5" i="15"/>
  <c r="J4" i="15"/>
  <c r="K6" i="15"/>
  <c r="L6" i="20" l="1"/>
  <c r="K5" i="20"/>
  <c r="K4" i="20"/>
  <c r="L6" i="19"/>
  <c r="K5" i="19"/>
  <c r="K4" i="19"/>
  <c r="K4" i="15"/>
  <c r="K5" i="15"/>
  <c r="L6" i="15"/>
  <c r="M6" i="20" l="1"/>
  <c r="L5" i="20"/>
  <c r="L4" i="20"/>
  <c r="M6" i="19"/>
  <c r="L5" i="19"/>
  <c r="L4" i="19"/>
  <c r="L4" i="15"/>
  <c r="M6" i="15"/>
  <c r="L5" i="15"/>
  <c r="N6" i="20" l="1"/>
  <c r="M5" i="20"/>
  <c r="M4" i="20"/>
  <c r="N6" i="19"/>
  <c r="M5" i="19"/>
  <c r="M4" i="19"/>
  <c r="N6" i="15"/>
  <c r="M5" i="15"/>
  <c r="M4" i="15"/>
  <c r="O6" i="20" l="1"/>
  <c r="N5" i="20"/>
  <c r="N4" i="20"/>
  <c r="O6" i="19"/>
  <c r="N5" i="19"/>
  <c r="N4" i="19"/>
  <c r="N4" i="15"/>
  <c r="N5" i="15"/>
  <c r="O6" i="15"/>
  <c r="P6" i="20" l="1"/>
  <c r="O5" i="20"/>
  <c r="O4" i="20"/>
  <c r="P6" i="19"/>
  <c r="O5" i="19"/>
  <c r="O4" i="19"/>
  <c r="O4" i="15"/>
  <c r="P6" i="15"/>
  <c r="O5" i="15"/>
  <c r="Q6" i="20" l="1"/>
  <c r="P5" i="20"/>
  <c r="P4" i="20"/>
  <c r="Q6" i="19"/>
  <c r="P5" i="19"/>
  <c r="P4" i="19"/>
  <c r="Q6" i="15"/>
  <c r="P5" i="15"/>
  <c r="P4" i="15"/>
  <c r="R6" i="20" l="1"/>
  <c r="Q5" i="20"/>
  <c r="Q4" i="20"/>
  <c r="R6" i="19"/>
  <c r="Q5" i="19"/>
  <c r="Q4" i="19"/>
  <c r="Q5" i="15"/>
  <c r="Q4" i="15"/>
  <c r="R6" i="15"/>
  <c r="S6" i="20" l="1"/>
  <c r="R5" i="20"/>
  <c r="R4" i="20"/>
  <c r="S6" i="19"/>
  <c r="R5" i="19"/>
  <c r="R4" i="19"/>
  <c r="R4" i="15"/>
  <c r="S6" i="15"/>
  <c r="R5" i="15"/>
  <c r="T6" i="20" l="1"/>
  <c r="S5" i="20"/>
  <c r="S4" i="20"/>
  <c r="T6" i="19"/>
  <c r="S5" i="19"/>
  <c r="S4" i="19"/>
  <c r="S4" i="15"/>
  <c r="T6" i="15"/>
  <c r="S5" i="15"/>
  <c r="U6" i="20" l="1"/>
  <c r="T5" i="20"/>
  <c r="T4" i="20"/>
  <c r="U6" i="19"/>
  <c r="T5" i="19"/>
  <c r="T4" i="19"/>
  <c r="T4" i="15"/>
  <c r="U6" i="15"/>
  <c r="T5" i="15"/>
  <c r="V6" i="20" l="1"/>
  <c r="U5" i="20"/>
  <c r="U4" i="20"/>
  <c r="V6" i="19"/>
  <c r="U5" i="19"/>
  <c r="U4" i="19"/>
  <c r="U4" i="15"/>
  <c r="V6" i="15"/>
  <c r="U5" i="15"/>
  <c r="W6" i="20" l="1"/>
  <c r="V5" i="20"/>
  <c r="V4" i="20"/>
  <c r="W6" i="19"/>
  <c r="V5" i="19"/>
  <c r="V4" i="19"/>
  <c r="V4" i="15"/>
  <c r="W6" i="15"/>
  <c r="V5" i="15"/>
  <c r="X6" i="20" l="1"/>
  <c r="W5" i="20"/>
  <c r="W4" i="20"/>
  <c r="X6" i="19"/>
  <c r="W5" i="19"/>
  <c r="W4" i="19"/>
  <c r="W4" i="15"/>
  <c r="X6" i="15"/>
  <c r="W5" i="15"/>
  <c r="Y6" i="20" l="1"/>
  <c r="X5" i="20"/>
  <c r="X4" i="20"/>
  <c r="Y6" i="19"/>
  <c r="X5" i="19"/>
  <c r="X4" i="19"/>
  <c r="Y6" i="15"/>
  <c r="X5" i="15"/>
  <c r="X4" i="15"/>
  <c r="Z6" i="20" l="1"/>
  <c r="Y5" i="20"/>
  <c r="Y4" i="20"/>
  <c r="Z6" i="19"/>
  <c r="Y5" i="19"/>
  <c r="Y4" i="19"/>
  <c r="Y4" i="15"/>
  <c r="Z6" i="15"/>
  <c r="Y5" i="15"/>
  <c r="AA6" i="20" l="1"/>
  <c r="Z5" i="20"/>
  <c r="Z4" i="20"/>
  <c r="AA6" i="19"/>
  <c r="Z5" i="19"/>
  <c r="Z4" i="19"/>
  <c r="AA6" i="15"/>
  <c r="Z4" i="15"/>
  <c r="Z5" i="15"/>
  <c r="AB6" i="20" l="1"/>
  <c r="AA5" i="20"/>
  <c r="AA4" i="20"/>
  <c r="AB6" i="19"/>
  <c r="AA5" i="19"/>
  <c r="AA4" i="19"/>
  <c r="AA4" i="15"/>
  <c r="AA5" i="15"/>
  <c r="AB6" i="15"/>
  <c r="AC6" i="20" l="1"/>
  <c r="AB5" i="20"/>
  <c r="AB4" i="20"/>
  <c r="AC6" i="19"/>
  <c r="AB5" i="19"/>
  <c r="AB4" i="19"/>
  <c r="AB4" i="15"/>
  <c r="AB5" i="15"/>
  <c r="AC6" i="15"/>
  <c r="AD6" i="20" l="1"/>
  <c r="AC5" i="20"/>
  <c r="AC4" i="20"/>
  <c r="AD6" i="19"/>
  <c r="AC5" i="19"/>
  <c r="AC4" i="19"/>
  <c r="AD6" i="15"/>
  <c r="AC5" i="15"/>
  <c r="AC4" i="15"/>
  <c r="AE6" i="20" l="1"/>
  <c r="AD5" i="20"/>
  <c r="AD4" i="20"/>
  <c r="AE6" i="19"/>
  <c r="AD5" i="19"/>
  <c r="AD4" i="19"/>
  <c r="AD4" i="15"/>
  <c r="AE6" i="15"/>
  <c r="AD5" i="15"/>
  <c r="AF6" i="20" l="1"/>
  <c r="AE5" i="20"/>
  <c r="AE4" i="20"/>
  <c r="AF6" i="19"/>
  <c r="AE5" i="19"/>
  <c r="AE4" i="19"/>
  <c r="AE4" i="15"/>
  <c r="AF6" i="15"/>
  <c r="AE5" i="15"/>
  <c r="AF5" i="20" l="1"/>
  <c r="AF4" i="20"/>
  <c r="AG6" i="19"/>
  <c r="AF5" i="19"/>
  <c r="AF4" i="19"/>
  <c r="AG6" i="15"/>
  <c r="AF5" i="15"/>
  <c r="AF4" i="15"/>
  <c r="AG5" i="19" l="1"/>
  <c r="AG4" i="19"/>
  <c r="AG5" i="15"/>
  <c r="AG4" i="15"/>
  <c r="AJ26" i="20" l="1" a="1"/>
  <c r="AJ26" i="20" s="1"/>
  <c r="AI26" i="20" a="1"/>
  <c r="AI26" i="20" s="1"/>
  <c r="AH26" i="20" a="1"/>
  <c r="AH26" i="20" s="1"/>
  <c r="AL26" i="20" s="1"/>
  <c r="AG26" i="20" a="1"/>
  <c r="AG26" i="20" s="1"/>
  <c r="AK26" i="20" s="1"/>
  <c r="AJ25" i="20" a="1"/>
  <c r="AJ25" i="20" s="1"/>
  <c r="AI25" i="20" a="1"/>
  <c r="AI25" i="20" s="1"/>
  <c r="AH25" i="20" a="1"/>
  <c r="AH25" i="20" s="1"/>
  <c r="AL25" i="20" s="1"/>
  <c r="AG25" i="20" a="1"/>
  <c r="AG25" i="20" s="1"/>
  <c r="AK25" i="20" s="1"/>
  <c r="AJ24" i="20" a="1"/>
  <c r="AJ24" i="20" s="1"/>
  <c r="AI24" i="20" a="1"/>
  <c r="AI24" i="20" s="1"/>
  <c r="AH24" i="20" a="1"/>
  <c r="AH24" i="20" s="1"/>
  <c r="AL24" i="20" s="1"/>
  <c r="AG24" i="20" a="1"/>
  <c r="AG24" i="20" s="1"/>
  <c r="AK24" i="20" s="1"/>
  <c r="AJ23" i="20" a="1"/>
  <c r="AJ23" i="20" s="1"/>
  <c r="AI23" i="20" a="1"/>
  <c r="AI23" i="20" s="1"/>
  <c r="AH23" i="20" a="1"/>
  <c r="AH23" i="20" s="1"/>
  <c r="AL23" i="20" s="1"/>
  <c r="AG23" i="20" a="1"/>
  <c r="AG23" i="20" s="1"/>
  <c r="AK23" i="20" s="1"/>
  <c r="AJ22" i="20" a="1"/>
  <c r="AJ22" i="20" s="1"/>
  <c r="AI22" i="20" a="1"/>
  <c r="AI22" i="20" s="1"/>
  <c r="AH22" i="20" a="1"/>
  <c r="AH22" i="20" s="1"/>
  <c r="AL22" i="20" s="1"/>
  <c r="AG22" i="20" a="1"/>
  <c r="AG22" i="20" s="1"/>
  <c r="AK22" i="20" s="1"/>
  <c r="AJ21" i="20" a="1"/>
  <c r="AJ21" i="20" s="1"/>
  <c r="AI21" i="20" a="1"/>
  <c r="AI21" i="20" s="1"/>
  <c r="AH21" i="20" a="1"/>
  <c r="AH21" i="20" s="1"/>
  <c r="AL21" i="20" s="1"/>
  <c r="AG21" i="20" a="1"/>
  <c r="AG21" i="20" s="1"/>
  <c r="AK21" i="20" s="1"/>
  <c r="AJ20" i="20" a="1"/>
  <c r="AJ20" i="20" s="1"/>
  <c r="AI20" i="20" a="1"/>
  <c r="AI20" i="20" s="1"/>
  <c r="AH20" i="20" a="1"/>
  <c r="AH20" i="20" s="1"/>
  <c r="AL20" i="20" s="1"/>
  <c r="AG20" i="20" a="1"/>
  <c r="AG20" i="20" s="1"/>
  <c r="AK20" i="20" s="1"/>
  <c r="AJ19" i="20" a="1"/>
  <c r="AJ19" i="20" s="1"/>
  <c r="AI19" i="20" a="1"/>
  <c r="AI19" i="20" s="1"/>
  <c r="AH19" i="20" a="1"/>
  <c r="AH19" i="20" s="1"/>
  <c r="AL19" i="20" s="1"/>
  <c r="AG19" i="20" a="1"/>
  <c r="AG19" i="20" s="1"/>
  <c r="AK19" i="20" s="1"/>
  <c r="AJ18" i="20" a="1"/>
  <c r="AJ18" i="20" s="1"/>
  <c r="AI18" i="20" a="1"/>
  <c r="AI18" i="20" s="1"/>
  <c r="AH18" i="20" a="1"/>
  <c r="AH18" i="20" s="1"/>
  <c r="AL18" i="20" s="1"/>
  <c r="AG18" i="20" a="1"/>
  <c r="AG18" i="20" s="1"/>
  <c r="AK18" i="20" s="1"/>
  <c r="AJ17" i="20" a="1"/>
  <c r="AJ17" i="20" s="1"/>
  <c r="AI17" i="20" a="1"/>
  <c r="AI17" i="20" s="1"/>
  <c r="AH17" i="20" a="1"/>
  <c r="AH17" i="20" s="1"/>
  <c r="AL17" i="20" s="1"/>
  <c r="AG17" i="20" a="1"/>
  <c r="AG17" i="20" s="1"/>
  <c r="AK17" i="20" s="1"/>
  <c r="AJ16" i="20" a="1"/>
  <c r="AJ16" i="20" s="1"/>
  <c r="AI16" i="20" a="1"/>
  <c r="AI16" i="20" s="1"/>
  <c r="AH16" i="20" a="1"/>
  <c r="AH16" i="20" s="1"/>
  <c r="AL16" i="20" s="1"/>
  <c r="AG16" i="20" a="1"/>
  <c r="AG16" i="20" s="1"/>
  <c r="AK16" i="20" s="1"/>
  <c r="AJ15" i="20" a="1"/>
  <c r="AJ15" i="20" s="1"/>
  <c r="AI15" i="20" a="1"/>
  <c r="AI15" i="20" s="1"/>
  <c r="AH15" i="20" a="1"/>
  <c r="AH15" i="20" s="1"/>
  <c r="AL15" i="20" s="1"/>
  <c r="AG15" i="20" a="1"/>
  <c r="AG15" i="20" s="1"/>
  <c r="AK15" i="20" s="1"/>
  <c r="AJ14" i="20" a="1"/>
  <c r="AJ14" i="20" s="1"/>
  <c r="AI14" i="20" a="1"/>
  <c r="AI14" i="20" s="1"/>
  <c r="AH14" i="20" a="1"/>
  <c r="AH14" i="20" s="1"/>
  <c r="AL14" i="20" s="1"/>
  <c r="AG14" i="20" a="1"/>
  <c r="AG14" i="20" s="1"/>
  <c r="AK14" i="20" s="1"/>
  <c r="AJ13" i="20" a="1"/>
  <c r="AJ13" i="20" s="1"/>
  <c r="AI13" i="20" a="1"/>
  <c r="AI13" i="20" s="1"/>
  <c r="AH13" i="20" a="1"/>
  <c r="AH13" i="20" s="1"/>
  <c r="AL13" i="20" s="1"/>
  <c r="AG13" i="20" a="1"/>
  <c r="AG13" i="20" s="1"/>
  <c r="AK13" i="20" s="1"/>
  <c r="AJ12" i="20" a="1"/>
  <c r="AJ12" i="20" s="1"/>
  <c r="AI12" i="20" a="1"/>
  <c r="AI12" i="20" s="1"/>
  <c r="AH12" i="20" a="1"/>
  <c r="AH12" i="20" s="1"/>
  <c r="AL12" i="20" s="1"/>
  <c r="AG12" i="20" a="1"/>
  <c r="AG12" i="20" s="1"/>
  <c r="AK12" i="20" s="1"/>
  <c r="AJ11" i="20" a="1"/>
  <c r="AJ11" i="20" s="1"/>
  <c r="AI11" i="20" a="1"/>
  <c r="AI11" i="20" s="1"/>
  <c r="AH11" i="20" a="1"/>
  <c r="AH11" i="20" s="1"/>
  <c r="AL11" i="20" s="1"/>
  <c r="AG11" i="20" a="1"/>
  <c r="AG11" i="20" s="1"/>
  <c r="AK11" i="20" s="1"/>
  <c r="AJ10" i="20" a="1"/>
  <c r="AJ10" i="20" s="1"/>
  <c r="AI10" i="20" a="1"/>
  <c r="AI10" i="20" s="1"/>
  <c r="AH10" i="20" a="1"/>
  <c r="AH10" i="20" s="1"/>
  <c r="AL10" i="20" s="1"/>
  <c r="AG10" i="20" a="1"/>
  <c r="AG10" i="20" s="1"/>
  <c r="AK10" i="20" s="1"/>
  <c r="AJ9" i="20" a="1"/>
  <c r="AJ9" i="20" s="1"/>
  <c r="AI9" i="20" a="1"/>
  <c r="AI9" i="20" s="1"/>
  <c r="AH9" i="20" a="1"/>
  <c r="AH9" i="20" s="1"/>
  <c r="AL9" i="20" s="1"/>
  <c r="AG9" i="20" a="1"/>
  <c r="AG9" i="20" s="1"/>
  <c r="AK9" i="20" s="1"/>
  <c r="AJ8" i="20" a="1"/>
  <c r="AJ8" i="20" s="1"/>
  <c r="AI8" i="20" a="1"/>
  <c r="AI8" i="20" s="1"/>
  <c r="AH8" i="20" a="1"/>
  <c r="AH8" i="20" s="1"/>
  <c r="AL8" i="20" s="1"/>
  <c r="AG8" i="20" a="1"/>
  <c r="AG8" i="20" s="1"/>
  <c r="AK8" i="20" s="1"/>
  <c r="AJ7" i="20" a="1"/>
  <c r="AJ7" i="20" s="1"/>
  <c r="AI7" i="20" a="1"/>
  <c r="AI7" i="20" s="1"/>
  <c r="AH7" i="20" a="1"/>
  <c r="AH7" i="20" s="1"/>
  <c r="AL7" i="20" s="1"/>
  <c r="AG7" i="20" a="1"/>
  <c r="AG7" i="20" s="1"/>
  <c r="AK7" i="20" s="1"/>
  <c r="AK26" i="19" a="1"/>
  <c r="AK26" i="19" s="1"/>
  <c r="AJ26" i="19" a="1"/>
  <c r="AJ26" i="19" s="1"/>
  <c r="AI26" i="19" a="1"/>
  <c r="AI26" i="19" s="1"/>
  <c r="AM26" i="19" s="1"/>
  <c r="AH26" i="19" a="1"/>
  <c r="AH26" i="19" s="1"/>
  <c r="AL26" i="19" s="1"/>
  <c r="AK25" i="19" a="1"/>
  <c r="AK25" i="19" s="1"/>
  <c r="AJ25" i="19" a="1"/>
  <c r="AJ25" i="19" s="1"/>
  <c r="AI25" i="19" a="1"/>
  <c r="AI25" i="19" s="1"/>
  <c r="AM25" i="19" s="1"/>
  <c r="AH25" i="19" a="1"/>
  <c r="AH25" i="19" s="1"/>
  <c r="AL25" i="19" s="1"/>
  <c r="AK24" i="19" a="1"/>
  <c r="AK24" i="19" s="1"/>
  <c r="AJ24" i="19" a="1"/>
  <c r="AJ24" i="19" s="1"/>
  <c r="AI24" i="19" a="1"/>
  <c r="AI24" i="19" s="1"/>
  <c r="AM24" i="19" s="1"/>
  <c r="AH24" i="19" a="1"/>
  <c r="AH24" i="19" s="1"/>
  <c r="AL24" i="19" s="1"/>
  <c r="AK23" i="19" a="1"/>
  <c r="AK23" i="19" s="1"/>
  <c r="AJ23" i="19" a="1"/>
  <c r="AJ23" i="19" s="1"/>
  <c r="AI23" i="19" a="1"/>
  <c r="AI23" i="19" s="1"/>
  <c r="AM23" i="19" s="1"/>
  <c r="AH23" i="19" a="1"/>
  <c r="AH23" i="19" s="1"/>
  <c r="AL23" i="19" s="1"/>
  <c r="AK22" i="19" a="1"/>
  <c r="AK22" i="19" s="1"/>
  <c r="AJ22" i="19" a="1"/>
  <c r="AJ22" i="19" s="1"/>
  <c r="AI22" i="19" a="1"/>
  <c r="AI22" i="19" s="1"/>
  <c r="AM22" i="19" s="1"/>
  <c r="AH22" i="19" a="1"/>
  <c r="AH22" i="19" s="1"/>
  <c r="AL22" i="19" s="1"/>
  <c r="AK21" i="19" a="1"/>
  <c r="AK21" i="19" s="1"/>
  <c r="AJ21" i="19" a="1"/>
  <c r="AJ21" i="19" s="1"/>
  <c r="AI21" i="19" a="1"/>
  <c r="AI21" i="19" s="1"/>
  <c r="AM21" i="19" s="1"/>
  <c r="AH21" i="19" a="1"/>
  <c r="AH21" i="19" s="1"/>
  <c r="AL21" i="19" s="1"/>
  <c r="AK20" i="19" a="1"/>
  <c r="AK20" i="19" s="1"/>
  <c r="AJ20" i="19" a="1"/>
  <c r="AJ20" i="19" s="1"/>
  <c r="AI20" i="19" a="1"/>
  <c r="AI20" i="19" s="1"/>
  <c r="AM20" i="19" s="1"/>
  <c r="AH20" i="19" a="1"/>
  <c r="AH20" i="19" s="1"/>
  <c r="AL20" i="19" s="1"/>
  <c r="AK19" i="19" a="1"/>
  <c r="AK19" i="19" s="1"/>
  <c r="AJ19" i="19" a="1"/>
  <c r="AJ19" i="19" s="1"/>
  <c r="AI19" i="19" a="1"/>
  <c r="AI19" i="19" s="1"/>
  <c r="AM19" i="19" s="1"/>
  <c r="AH19" i="19" a="1"/>
  <c r="AH19" i="19" s="1"/>
  <c r="AL19" i="19" s="1"/>
  <c r="AK18" i="19" a="1"/>
  <c r="AK18" i="19" s="1"/>
  <c r="AJ18" i="19" a="1"/>
  <c r="AJ18" i="19" s="1"/>
  <c r="AI18" i="19" a="1"/>
  <c r="AI18" i="19" s="1"/>
  <c r="AM18" i="19" s="1"/>
  <c r="AH18" i="19" a="1"/>
  <c r="AH18" i="19" s="1"/>
  <c r="AL18" i="19" s="1"/>
  <c r="AK17" i="19" a="1"/>
  <c r="AK17" i="19" s="1"/>
  <c r="AJ17" i="19" a="1"/>
  <c r="AJ17" i="19" s="1"/>
  <c r="AI17" i="19" a="1"/>
  <c r="AI17" i="19" s="1"/>
  <c r="AM17" i="19" s="1"/>
  <c r="AH17" i="19" a="1"/>
  <c r="AH17" i="19" s="1"/>
  <c r="AL17" i="19" s="1"/>
  <c r="AK16" i="19" a="1"/>
  <c r="AK16" i="19" s="1"/>
  <c r="AJ16" i="19" a="1"/>
  <c r="AJ16" i="19" s="1"/>
  <c r="AI16" i="19" a="1"/>
  <c r="AI16" i="19" s="1"/>
  <c r="AM16" i="19" s="1"/>
  <c r="AH16" i="19" a="1"/>
  <c r="AH16" i="19" s="1"/>
  <c r="AL16" i="19" s="1"/>
  <c r="AK15" i="19" a="1"/>
  <c r="AK15" i="19" s="1"/>
  <c r="AJ15" i="19" a="1"/>
  <c r="AJ15" i="19" s="1"/>
  <c r="AI15" i="19" a="1"/>
  <c r="AI15" i="19" s="1"/>
  <c r="AM15" i="19" s="1"/>
  <c r="AH15" i="19" a="1"/>
  <c r="AH15" i="19" s="1"/>
  <c r="AL15" i="19" s="1"/>
  <c r="AK14" i="19" a="1"/>
  <c r="AK14" i="19" s="1"/>
  <c r="AJ14" i="19" a="1"/>
  <c r="AJ14" i="19" s="1"/>
  <c r="AI14" i="19" a="1"/>
  <c r="AI14" i="19" s="1"/>
  <c r="AM14" i="19" s="1"/>
  <c r="AH14" i="19" a="1"/>
  <c r="AH14" i="19" s="1"/>
  <c r="AL14" i="19" s="1"/>
  <c r="AK13" i="19" a="1"/>
  <c r="AK13" i="19" s="1"/>
  <c r="AJ13" i="19" a="1"/>
  <c r="AJ13" i="19" s="1"/>
  <c r="AI13" i="19" a="1"/>
  <c r="AI13" i="19" s="1"/>
  <c r="AM13" i="19" s="1"/>
  <c r="AH13" i="19" a="1"/>
  <c r="AH13" i="19" s="1"/>
  <c r="AL13" i="19" s="1"/>
  <c r="AK12" i="19" a="1"/>
  <c r="AK12" i="19" s="1"/>
  <c r="AJ12" i="19" a="1"/>
  <c r="AJ12" i="19" s="1"/>
  <c r="AI12" i="19" a="1"/>
  <c r="AI12" i="19" s="1"/>
  <c r="AM12" i="19" s="1"/>
  <c r="AH12" i="19" a="1"/>
  <c r="AH12" i="19" s="1"/>
  <c r="AL12" i="19" s="1"/>
  <c r="AK11" i="19" a="1"/>
  <c r="AK11" i="19" s="1"/>
  <c r="AJ11" i="19" a="1"/>
  <c r="AJ11" i="19" s="1"/>
  <c r="AI11" i="19" a="1"/>
  <c r="AI11" i="19" s="1"/>
  <c r="AM11" i="19" s="1"/>
  <c r="AH11" i="19" a="1"/>
  <c r="AH11" i="19" s="1"/>
  <c r="AL11" i="19" s="1"/>
  <c r="AK10" i="19" a="1"/>
  <c r="AK10" i="19" s="1"/>
  <c r="AJ10" i="19" a="1"/>
  <c r="AJ10" i="19" s="1"/>
  <c r="AI10" i="19" a="1"/>
  <c r="AI10" i="19" s="1"/>
  <c r="AM10" i="19" s="1"/>
  <c r="AH10" i="19" a="1"/>
  <c r="AH10" i="19" s="1"/>
  <c r="AL10" i="19" s="1"/>
  <c r="AK9" i="19" a="1"/>
  <c r="AK9" i="19" s="1"/>
  <c r="AJ9" i="19" a="1"/>
  <c r="AJ9" i="19" s="1"/>
  <c r="AI9" i="19" a="1"/>
  <c r="AI9" i="19" s="1"/>
  <c r="AM9" i="19" s="1"/>
  <c r="AH9" i="19" a="1"/>
  <c r="AH9" i="19" s="1"/>
  <c r="AL9" i="19" s="1"/>
  <c r="AK8" i="19" a="1"/>
  <c r="AK8" i="19" s="1"/>
  <c r="AJ8" i="19" a="1"/>
  <c r="AJ8" i="19" s="1"/>
  <c r="AI8" i="19" a="1"/>
  <c r="AI8" i="19" s="1"/>
  <c r="AM8" i="19" s="1"/>
  <c r="AH8" i="19" a="1"/>
  <c r="AH8" i="19" s="1"/>
  <c r="AL8" i="19" s="1"/>
  <c r="AK7" i="19" a="1"/>
  <c r="AK7" i="19" s="1"/>
  <c r="AJ7" i="19" a="1"/>
  <c r="AJ7" i="19" s="1"/>
  <c r="AI7" i="19" a="1"/>
  <c r="AI7" i="19" s="1"/>
  <c r="AM7" i="19" s="1"/>
  <c r="AH7" i="19" a="1"/>
  <c r="AH7" i="19" s="1"/>
  <c r="AL7" i="19" s="1"/>
  <c r="AH24" i="15" a="1"/>
  <c r="AH24" i="15" s="1"/>
  <c r="AL24" i="15" s="1"/>
  <c r="AH23" i="15" a="1"/>
  <c r="AH23" i="15" s="1"/>
  <c r="AL23" i="15" s="1"/>
  <c r="AH26" i="15" a="1"/>
  <c r="AH26" i="15" s="1"/>
  <c r="AH22" i="15" a="1"/>
  <c r="AH22" i="15" s="1"/>
  <c r="AL22" i="15" s="1"/>
  <c r="AI19" i="15" a="1"/>
  <c r="AI19" i="15" s="1"/>
  <c r="AH20" i="15" a="1"/>
  <c r="AH20" i="15" s="1"/>
  <c r="AH19" i="15" a="1"/>
  <c r="AH19" i="15" s="1"/>
  <c r="AK21" i="15" a="1"/>
  <c r="AK21" i="15" s="1"/>
  <c r="AI26" i="15" a="1"/>
  <c r="AI26" i="15" s="1"/>
  <c r="AJ26" i="15" a="1"/>
  <c r="AJ26" i="15" s="1"/>
  <c r="AI20" i="15" a="1"/>
  <c r="AI20" i="15" s="1"/>
  <c r="AI21" i="15" a="1"/>
  <c r="AI21" i="15" s="1"/>
  <c r="AK26" i="15" a="1"/>
  <c r="AK26" i="15" s="1"/>
  <c r="AJ20" i="15" a="1"/>
  <c r="AJ20" i="15" s="1"/>
  <c r="AK19" i="15" a="1"/>
  <c r="AK19" i="15" s="1"/>
  <c r="AH21" i="15" a="1"/>
  <c r="AH21" i="15" s="1"/>
  <c r="AK20" i="15" a="1"/>
  <c r="AK20" i="15" s="1"/>
  <c r="AJ19" i="15" a="1"/>
  <c r="AJ19" i="15" s="1"/>
  <c r="AJ21" i="15" a="1"/>
  <c r="AJ21" i="15" s="1"/>
  <c r="AJ15" i="15" a="1"/>
  <c r="AJ15" i="15" s="1"/>
  <c r="AI11" i="15" a="1"/>
  <c r="AI11" i="15" s="1"/>
  <c r="AK10" i="15" a="1"/>
  <c r="AK10" i="15" s="1"/>
  <c r="AI12" i="15" a="1"/>
  <c r="AI12" i="15" s="1"/>
  <c r="AJ8" i="15" a="1"/>
  <c r="AJ8" i="15" s="1"/>
  <c r="AJ11" i="15" a="1"/>
  <c r="AJ11" i="15" s="1"/>
  <c r="AK12" i="15" a="1"/>
  <c r="AK12" i="15" s="1"/>
  <c r="AH18" i="15" a="1"/>
  <c r="AH18" i="15" s="1"/>
  <c r="AK8" i="15" a="1"/>
  <c r="AK8" i="15" s="1"/>
  <c r="AJ17" i="15" a="1"/>
  <c r="AJ17" i="15" s="1"/>
  <c r="AI9" i="15" a="1"/>
  <c r="AI9" i="15" s="1"/>
  <c r="AK7" i="15" a="1"/>
  <c r="AK7" i="15" s="1"/>
  <c r="AH17" i="15" a="1"/>
  <c r="AH17" i="15" s="1"/>
  <c r="AI10" i="15" a="1"/>
  <c r="AI10" i="15" s="1"/>
  <c r="AI13" i="15" a="1"/>
  <c r="AI13" i="15" s="1"/>
  <c r="AK15" i="15" a="1"/>
  <c r="AK15" i="15" s="1"/>
  <c r="AI8" i="15" a="1"/>
  <c r="AI8" i="15" s="1"/>
  <c r="AH14" i="15" a="1"/>
  <c r="AH14" i="15" s="1"/>
  <c r="AK14" i="15" a="1"/>
  <c r="AK14" i="15" s="1"/>
  <c r="AJ7" i="15" a="1"/>
  <c r="AJ7" i="15" s="1"/>
  <c r="AJ16" i="15" a="1"/>
  <c r="AJ16" i="15" s="1"/>
  <c r="AJ18" i="15" a="1"/>
  <c r="AJ18" i="15" s="1"/>
  <c r="AH9" i="15" a="1"/>
  <c r="AH9" i="15" s="1"/>
  <c r="AH8" i="15" a="1"/>
  <c r="AH8" i="15" s="1"/>
  <c r="AI17" i="15" a="1"/>
  <c r="AI17" i="15" s="1"/>
  <c r="AI14" i="15" a="1"/>
  <c r="AI14" i="15" s="1"/>
  <c r="AK16" i="15" a="1"/>
  <c r="AK16" i="15" s="1"/>
  <c r="AH11" i="15" a="1"/>
  <c r="AH11" i="15" s="1"/>
  <c r="AK13" i="15" a="1"/>
  <c r="AK13" i="15" s="1"/>
  <c r="AH7" i="15" a="1"/>
  <c r="AH7" i="15" s="1"/>
  <c r="AJ9" i="15" a="1"/>
  <c r="AJ9" i="15" s="1"/>
  <c r="AH10" i="15" a="1"/>
  <c r="AH10" i="15" s="1"/>
  <c r="AI15" i="15" a="1"/>
  <c r="AI15" i="15" s="1"/>
  <c r="AK11" i="15" a="1"/>
  <c r="AK11" i="15" s="1"/>
  <c r="AH16" i="15" a="1"/>
  <c r="AH16" i="15" s="1"/>
  <c r="AK18" i="15" a="1"/>
  <c r="AK18" i="15" s="1"/>
  <c r="AK9" i="15" a="1"/>
  <c r="AK9" i="15" s="1"/>
  <c r="AJ12" i="15" a="1"/>
  <c r="AJ12" i="15" s="1"/>
  <c r="AH15" i="15" a="1"/>
  <c r="AH15" i="15" s="1"/>
  <c r="AJ10" i="15" a="1"/>
  <c r="AJ10" i="15" s="1"/>
  <c r="AI7" i="15" a="1"/>
  <c r="AI7" i="15" s="1"/>
  <c r="AH13" i="15" a="1"/>
  <c r="AH13" i="15" s="1"/>
  <c r="AK17" i="15" a="1"/>
  <c r="AK17" i="15" s="1"/>
  <c r="AI18" i="15" a="1"/>
  <c r="AI18" i="15" s="1"/>
  <c r="AI16" i="15" a="1"/>
  <c r="AI16" i="15" s="1"/>
  <c r="AJ13" i="15" a="1"/>
  <c r="AJ13" i="15" s="1"/>
  <c r="AH12" i="15" a="1"/>
  <c r="AH12" i="15" s="1"/>
  <c r="AJ14" i="15" a="1"/>
  <c r="AJ14" i="15" s="1"/>
  <c r="AM18" i="15" l="1"/>
  <c r="AL8" i="15"/>
  <c r="AM10" i="15"/>
  <c r="AM16" i="15"/>
  <c r="AL18" i="15"/>
  <c r="AM26" i="15"/>
  <c r="AM13" i="15"/>
  <c r="AM20" i="15"/>
  <c r="AL7" i="15"/>
  <c r="AM8" i="15"/>
  <c r="AM21" i="15"/>
  <c r="AL12" i="15"/>
  <c r="AL19" i="15"/>
  <c r="AL26" i="15"/>
  <c r="AL20" i="15"/>
  <c r="AL21" i="15"/>
  <c r="AM7" i="15"/>
  <c r="AM19" i="15"/>
  <c r="AL10" i="15"/>
  <c r="AL16" i="15"/>
  <c r="AM14" i="15"/>
  <c r="AL17" i="15"/>
  <c r="AL11" i="15"/>
  <c r="AM12" i="15"/>
  <c r="AL15" i="15"/>
  <c r="AM9" i="15"/>
  <c r="AL13" i="15"/>
  <c r="AL14" i="15"/>
  <c r="AM11" i="15"/>
  <c r="AL9" i="15"/>
  <c r="AM15" i="15"/>
  <c r="AM17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<sst xmlns="http://schemas.openxmlformats.org/spreadsheetml/2006/main" count="1125" uniqueCount="88">
  <si>
    <t>Months</t>
  </si>
  <si>
    <t>Official Holidays</t>
  </si>
  <si>
    <t>Date -  form</t>
  </si>
  <si>
    <t>Date - to</t>
  </si>
  <si>
    <t>Total Days</t>
  </si>
  <si>
    <t>January</t>
  </si>
  <si>
    <t>Accession Day</t>
  </si>
  <si>
    <t>15/1/2026</t>
  </si>
  <si>
    <t>1 Day</t>
  </si>
  <si>
    <t>AL-MAWLID AN-NABAWI</t>
  </si>
  <si>
    <t>Al-Isra and Al-miraj</t>
  </si>
  <si>
    <t>18/1/2026</t>
  </si>
  <si>
    <t>February</t>
  </si>
  <si>
    <t>National Day</t>
  </si>
  <si>
    <t>March</t>
  </si>
  <si>
    <t>April</t>
  </si>
  <si>
    <t>Ascension Day</t>
  </si>
  <si>
    <t>May</t>
  </si>
  <si>
    <t>Al-Isra W Al-miraj</t>
  </si>
  <si>
    <t>June</t>
  </si>
  <si>
    <t>Hijri New Year</t>
  </si>
  <si>
    <t>18/6/2026</t>
  </si>
  <si>
    <t>Eid Al-Fiter</t>
  </si>
  <si>
    <t>July</t>
  </si>
  <si>
    <t>August</t>
  </si>
  <si>
    <t>Prophet Muhammad's Birthday</t>
  </si>
  <si>
    <t>27/8/2026</t>
  </si>
  <si>
    <t>September</t>
  </si>
  <si>
    <t>October</t>
  </si>
  <si>
    <t>November</t>
  </si>
  <si>
    <t>25/11/2026</t>
  </si>
  <si>
    <t>26/11/2025</t>
  </si>
  <si>
    <t>2 Days</t>
  </si>
  <si>
    <t>December</t>
  </si>
  <si>
    <t xml:space="preserve">                                               Attendance for the month of</t>
  </si>
  <si>
    <t>Start Date:</t>
  </si>
  <si>
    <t>End Date:</t>
  </si>
  <si>
    <t>Can. ID</t>
  </si>
  <si>
    <t>Candidates Name</t>
  </si>
  <si>
    <t>Full Day Present</t>
  </si>
  <si>
    <t>Full Day Absent</t>
  </si>
  <si>
    <t>Half Day Present</t>
  </si>
  <si>
    <t xml:space="preserve">Work Days </t>
  </si>
  <si>
    <t>Pr. Percent</t>
  </si>
  <si>
    <t>Ab. Percent</t>
  </si>
  <si>
    <t>Mariya Nabhan Saif Al-Lamki</t>
  </si>
  <si>
    <t>P</t>
  </si>
  <si>
    <t xml:space="preserve">Khadija Ali Al-Loughani </t>
  </si>
  <si>
    <t xml:space="preserve">Tibyan Abdelgadir Abdalla soad </t>
  </si>
  <si>
    <t>Maryam Malik Said Al-Muharrami</t>
  </si>
  <si>
    <t>Saif Mohsin Al-Mahrouqi</t>
  </si>
  <si>
    <t>Razan Salam Al-Harthi</t>
  </si>
  <si>
    <t xml:space="preserve">Alharith Ahmed Al-Subhi </t>
  </si>
  <si>
    <t>L --30m</t>
  </si>
  <si>
    <t>Ibrahim said Al-Rahbi</t>
  </si>
  <si>
    <t>Safa Said Al-Maamari</t>
  </si>
  <si>
    <t>Sulaiman Yousuf Al-Farsi</t>
  </si>
  <si>
    <t>Yarab Mohammed Al-Mamari</t>
  </si>
  <si>
    <t>Aljolanda Hamdoon Al-Handhali</t>
  </si>
  <si>
    <t xml:space="preserve">Alharith Ahmed Al-Kindi </t>
  </si>
  <si>
    <t>Kawther Ali Al-Mandhari</t>
  </si>
  <si>
    <t>AP</t>
  </si>
  <si>
    <t>Abdullah Khalid Al-Hosni</t>
  </si>
  <si>
    <t xml:space="preserve">Abdullah Juma Al-Hadabi </t>
  </si>
  <si>
    <t>Rima Ahmed Al-Tarshi</t>
  </si>
  <si>
    <t>Safa Ahmed Al-Sibani</t>
  </si>
  <si>
    <t>Abdulmajeed Hussain Al-Balushi</t>
  </si>
  <si>
    <t>Ahed Khalifa Al-Barhi</t>
  </si>
  <si>
    <t>-</t>
  </si>
  <si>
    <t>A</t>
  </si>
  <si>
    <t>SL</t>
  </si>
  <si>
    <t>L</t>
  </si>
  <si>
    <t>L--1h</t>
  </si>
  <si>
    <t>L--1h 15m</t>
  </si>
  <si>
    <t>L--50m</t>
  </si>
  <si>
    <t>L--1h 10m</t>
  </si>
  <si>
    <t xml:space="preserve">L--1h </t>
  </si>
  <si>
    <t>L--30m</t>
  </si>
  <si>
    <t>L--20m</t>
  </si>
  <si>
    <t>L--1h 26m</t>
  </si>
  <si>
    <t>L--35m</t>
  </si>
  <si>
    <t>L--1h 30m</t>
  </si>
  <si>
    <t>p</t>
  </si>
  <si>
    <t>L--45m</t>
  </si>
  <si>
    <t>Sick Leaves Approve</t>
  </si>
  <si>
    <t>Name</t>
  </si>
  <si>
    <t>Date</t>
  </si>
  <si>
    <t xml:space="preserve">SickLeaveAttachment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</si>
</sst>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dd"/>
    <numFmt numFmtId="166" formatCode="yyyy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Arial Rounded MT Bold"/>
      <family val="2"/>
    </font>
    <font>
      <sz val="16"/>
      <color theme="1"/>
      <name val="Arial Rounded MT Bold"/>
      <family val="2"/>
    </font>
    <font>
      <sz val="11"/>
      <color theme="1"/>
      <name val="Mongolian Baiti"/>
      <family val="4"/>
    </font>
    <font>
      <sz val="11"/>
      <name val="Calibri"/>
      <family val="2"/>
      <scheme val="minor"/>
    </font>
    <font>
      <b/>
      <sz val="11"/>
      <color theme="1"/>
      <name val="Mongolian Baiti"/>
      <family val="4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8">
    <xf numFmtId="0" fontId="0" fillId="0" borderId="0" xfId="0"/>
    <xf numFmtId="0" fontId="1" fillId="2" borderId="1" xfId="0" applyFont="1" applyFill="1" applyBorder="1"/>
    <xf numFmtId="165" fontId="1" fillId="2" borderId="1" xfId="0" applyNumberFormat="1" applyFont="1" applyFill="1" applyBorder="1"/>
    <xf numFmtId="0" fontId="0" fillId="0" borderId="1" xfId="0" applyBorder="1"/>
    <xf numFmtId="9" fontId="0" fillId="0" borderId="1" xfId="1" applyFont="1" applyBorder="1"/>
    <xf numFmtId="0" fontId="0" fillId="3" borderId="1" xfId="0" applyFill="1" applyBorder="1" applyAlignment="1">
      <alignment horizontal="center" vertical="center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4" borderId="1" xfId="0" applyFill="1" applyBorder="1"/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6" fillId="4" borderId="1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 vertical="top"/>
    </xf>
    <xf numFmtId="0" fontId="6" fillId="0" borderId="7" xfId="0" applyFont="1" applyBorder="1" applyAlignment="1">
      <alignment horizontal="left" vertical="top" wrapText="1"/>
    </xf>
    <xf numFmtId="0" fontId="0" fillId="4" borderId="2" xfId="0" applyFill="1" applyBorder="1"/>
    <xf numFmtId="0" fontId="0" fillId="0" borderId="2" xfId="0" applyBorder="1"/>
    <xf numFmtId="9" fontId="0" fillId="0" borderId="2" xfId="1" applyFont="1" applyBorder="1"/>
    <xf numFmtId="0" fontId="0" fillId="3" borderId="8" xfId="0" applyFill="1" applyBorder="1"/>
    <xf numFmtId="0" fontId="7" fillId="5" borderId="1" xfId="0" applyFont="1" applyFill="1" applyBorder="1"/>
    <xf numFmtId="0" fontId="7" fillId="5" borderId="2" xfId="0" applyFont="1" applyFill="1" applyBorder="1"/>
    <xf numFmtId="0" fontId="0" fillId="3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readingOrder="1"/>
    </xf>
    <xf numFmtId="0" fontId="7" fillId="4" borderId="1" xfId="0" applyFont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8" fillId="2" borderId="1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4" borderId="1" xfId="0" applyFont="1" applyFill="1" applyBorder="1"/>
    <xf numFmtId="0" fontId="0" fillId="4" borderId="2" xfId="0" applyFill="1" applyBorder="1" applyAlignment="1">
      <alignment wrapText="1"/>
    </xf>
    <xf numFmtId="0" fontId="0" fillId="0" borderId="1" xfId="0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7" fillId="4" borderId="1" xfId="0" applyFont="1" applyFill="1" applyBorder="1" applyAlignment="1">
      <alignment horizontal="left" vertical="top" wrapText="1"/>
    </xf>
    <xf numFmtId="0" fontId="0" fillId="4" borderId="1" xfId="0" applyFill="1" applyBorder="1" applyAlignment="1">
      <alignment wrapText="1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95">
    <dxf>
      <font>
        <color rgb="FF006100"/>
      </font>
      <fill>
        <patternFill>
          <bgColor rgb="FFC6EFCE"/>
        </patternFill>
      </fill>
    </dxf>
    <dxf>
      <font>
        <color theme="8"/>
      </font>
      <fill>
        <patternFill patternType="solid">
          <bgColor theme="4" tint="0.599993896298104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F3F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/>
      </font>
      <fill>
        <patternFill patternType="solid">
          <bgColor theme="4" tint="0.599993896298104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F3F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theme="8"/>
      </font>
      <fill>
        <patternFill patternType="solid">
          <bgColor theme="4" tint="0.599993896298104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F3F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theme="8"/>
      </font>
      <fill>
        <patternFill patternType="solid">
          <bgColor theme="4" tint="0.599993896298104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F3F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F3F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/>
      </font>
      <fill>
        <patternFill patternType="solid">
          <bgColor theme="4" tint="0.599993896298104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F3F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theme="8"/>
      </font>
      <fill>
        <patternFill patternType="solid">
          <bgColor theme="4" tint="0.599993896298104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F3F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theme="8"/>
      </font>
      <fill>
        <patternFill patternType="solid">
          <bgColor theme="4" tint="0.599993896298104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F3F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theme="8"/>
      </font>
      <fill>
        <patternFill patternType="solid"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F3F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3300"/>
      <color rgb="FFFF3F3F"/>
      <color rgb="FFF48D88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1085850</xdr:colOff>
      <xdr:row>1</xdr:row>
      <xdr:rowOff>107950</xdr:rowOff>
    </xdr:from>
    <xdr:to>
      <xdr:col>1</xdr:col>
      <xdr:colOff>2171700</xdr:colOff>
      <xdr:row>3</xdr:row>
      <xdr:rowOff>25400</xdr:rowOff>
    </xdr:to>
    <xdr:sp macro="[0]!CopyAndRenameSheetFrom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4388169-B7D0-4869-8EA9-9D030229D02E}"/>
            </a:ext>
          </a:extLst>
        </xdr:cNvPr>
        <xdr:cNvSpPr/>
      </xdr:nvSpPr>
      <xdr:spPr>
        <a:xfrm>
          <a:off x="1400175" y="850900"/>
          <a:ext cx="1085850" cy="279400"/>
        </a:xfrm>
        <a:prstGeom prst="roundRect">
          <a:avLst/>
        </a:prstGeom>
        <a:solidFill>
          <a:srgbClr val="FF33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E" sz="1200" b="1"/>
            <a:t>Copy</a:t>
          </a:r>
          <a:r>
            <a:rPr lang="en-AE" sz="1200" b="1" baseline="0"/>
            <a:t> Sheet</a:t>
          </a:r>
          <a:endParaRPr lang="en-AE" sz="1200" b="1"/>
        </a:p>
      </xdr:txBody>
    </xdr:sp>
    <xdr:clientData/>
  </xdr:twoCellAnchor>
  <xdr:twoCellAnchor>
    <xdr:from>
      <xdr:col>1</xdr:col>
      <xdr:colOff>76200</xdr:colOff>
      <xdr:row>1</xdr:row>
      <xdr:rowOff>114300</xdr:rowOff>
    </xdr:from>
    <xdr:to>
      <xdr:col>1</xdr:col>
      <xdr:colOff>1035050</xdr:colOff>
      <xdr:row>3</xdr:row>
      <xdr:rowOff>31750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DB65D72-6557-4DF2-AE0C-58B09B28F068}"/>
            </a:ext>
            <a:ext uri="{147F2762-F138-4A5C-976F-8EAC2B608ADB}">
              <a16:predDERef xmlns:a16="http://schemas.microsoft.com/office/drawing/2014/main" pred="{D4388169-B7D0-4869-8EA9-9D030229D02E}"/>
            </a:ext>
          </a:extLst>
        </xdr:cNvPr>
        <xdr:cNvSpPr/>
      </xdr:nvSpPr>
      <xdr:spPr>
        <a:xfrm>
          <a:off x="390525" y="857250"/>
          <a:ext cx="958850" cy="279400"/>
        </a:xfrm>
        <a:prstGeom prst="roundRect">
          <a:avLst/>
        </a:prstGeom>
        <a:solidFill>
          <a:srgbClr val="FF33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E" sz="1200" b="1"/>
            <a:t>Clear Sheet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1828800</xdr:colOff>
      <xdr:row>1</xdr:row>
      <xdr:rowOff>74714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2351466-4DE9-471D-BF56-DFC48FA2AEC3}"/>
            </a:ext>
            <a:ext uri="{147F2762-F138-4A5C-976F-8EAC2B608ADB}">
              <a16:predDERef xmlns:a16="http://schemas.microsoft.com/office/drawing/2014/main" pred="{BDB65D72-6557-4DF2-AE0C-58B09B28F0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340" b="29787"/>
        <a:stretch/>
      </xdr:blipFill>
      <xdr:spPr>
        <a:xfrm>
          <a:off x="0" y="0"/>
          <a:ext cx="2143125" cy="8176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1085850</xdr:colOff>
      <xdr:row>1</xdr:row>
      <xdr:rowOff>107950</xdr:rowOff>
    </xdr:from>
    <xdr:to>
      <xdr:col>1</xdr:col>
      <xdr:colOff>2171700</xdr:colOff>
      <xdr:row>3</xdr:row>
      <xdr:rowOff>25400</xdr:rowOff>
    </xdr:to>
    <xdr:sp macro="[0]!CopyAndRenameSheetFrom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C8F9E80-3A71-40A8-86DC-79321E3DBD22}"/>
            </a:ext>
          </a:extLst>
        </xdr:cNvPr>
        <xdr:cNvSpPr/>
      </xdr:nvSpPr>
      <xdr:spPr>
        <a:xfrm>
          <a:off x="1400175" y="850900"/>
          <a:ext cx="1085850" cy="279400"/>
        </a:xfrm>
        <a:prstGeom prst="roundRect">
          <a:avLst/>
        </a:prstGeom>
        <a:solidFill>
          <a:srgbClr val="FF33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E" sz="1200" b="1"/>
            <a:t>Copy</a:t>
          </a:r>
          <a:r>
            <a:rPr lang="en-AE" sz="1200" b="1" baseline="0"/>
            <a:t> Sheet</a:t>
          </a:r>
          <a:endParaRPr lang="en-AE" sz="1200" b="1"/>
        </a:p>
      </xdr:txBody>
    </xdr:sp>
    <xdr:clientData/>
  </xdr:twoCellAnchor>
  <xdr:twoCellAnchor>
    <xdr:from>
      <xdr:col>1</xdr:col>
      <xdr:colOff>76200</xdr:colOff>
      <xdr:row>1</xdr:row>
      <xdr:rowOff>114300</xdr:rowOff>
    </xdr:from>
    <xdr:to>
      <xdr:col>1</xdr:col>
      <xdr:colOff>1035050</xdr:colOff>
      <xdr:row>3</xdr:row>
      <xdr:rowOff>31750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A97D5A-99AA-4EC8-A6FC-A358BF2D8686}"/>
            </a:ext>
            <a:ext uri="{147F2762-F138-4A5C-976F-8EAC2B608ADB}">
              <a16:predDERef xmlns:a16="http://schemas.microsoft.com/office/drawing/2014/main" pred="{EC8F9E80-3A71-40A8-86DC-79321E3DBD22}"/>
            </a:ext>
          </a:extLst>
        </xdr:cNvPr>
        <xdr:cNvSpPr/>
      </xdr:nvSpPr>
      <xdr:spPr>
        <a:xfrm>
          <a:off x="390525" y="857250"/>
          <a:ext cx="958850" cy="279400"/>
        </a:xfrm>
        <a:prstGeom prst="roundRect">
          <a:avLst/>
        </a:prstGeom>
        <a:solidFill>
          <a:srgbClr val="FF33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E" sz="1200" b="1"/>
            <a:t>Clear Sheet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1828800</xdr:colOff>
      <xdr:row>1</xdr:row>
      <xdr:rowOff>74714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C7A69E3-2BDC-490B-9E7D-143DD660CE5C}"/>
            </a:ext>
            <a:ext uri="{147F2762-F138-4A5C-976F-8EAC2B608ADB}">
              <a16:predDERef xmlns:a16="http://schemas.microsoft.com/office/drawing/2014/main" pred="{3EA97D5A-99AA-4EC8-A6FC-A358BF2D8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340" b="29787"/>
        <a:stretch/>
      </xdr:blipFill>
      <xdr:spPr>
        <a:xfrm>
          <a:off x="0" y="0"/>
          <a:ext cx="2143125" cy="8176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1085850</xdr:colOff>
      <xdr:row>1</xdr:row>
      <xdr:rowOff>107950</xdr:rowOff>
    </xdr:from>
    <xdr:to>
      <xdr:col>1</xdr:col>
      <xdr:colOff>2171700</xdr:colOff>
      <xdr:row>3</xdr:row>
      <xdr:rowOff>25400</xdr:rowOff>
    </xdr:to>
    <xdr:sp macro="[0]!CopyAndRenameSheetFrom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839B1A-1402-4A0E-A851-4B5CADE87D94}"/>
            </a:ext>
          </a:extLst>
        </xdr:cNvPr>
        <xdr:cNvSpPr/>
      </xdr:nvSpPr>
      <xdr:spPr>
        <a:xfrm>
          <a:off x="1416050" y="850900"/>
          <a:ext cx="1085850" cy="285750"/>
        </a:xfrm>
        <a:prstGeom prst="roundRect">
          <a:avLst/>
        </a:prstGeom>
        <a:solidFill>
          <a:srgbClr val="FF33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E" sz="1200" b="1"/>
            <a:t>Copy</a:t>
          </a:r>
          <a:r>
            <a:rPr lang="en-AE" sz="1200" b="1" baseline="0"/>
            <a:t> Sheet</a:t>
          </a:r>
          <a:endParaRPr lang="en-AE" sz="1200" b="1"/>
        </a:p>
      </xdr:txBody>
    </xdr:sp>
    <xdr:clientData/>
  </xdr:twoCellAnchor>
  <xdr:twoCellAnchor>
    <xdr:from>
      <xdr:col>1</xdr:col>
      <xdr:colOff>76200</xdr:colOff>
      <xdr:row>1</xdr:row>
      <xdr:rowOff>114300</xdr:rowOff>
    </xdr:from>
    <xdr:to>
      <xdr:col>1</xdr:col>
      <xdr:colOff>1035050</xdr:colOff>
      <xdr:row>3</xdr:row>
      <xdr:rowOff>31750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530E51C-AEB6-4F93-AD97-753B92887DD9}"/>
            </a:ext>
          </a:extLst>
        </xdr:cNvPr>
        <xdr:cNvSpPr/>
      </xdr:nvSpPr>
      <xdr:spPr>
        <a:xfrm>
          <a:off x="406400" y="857250"/>
          <a:ext cx="958850" cy="285750"/>
        </a:xfrm>
        <a:prstGeom prst="roundRect">
          <a:avLst/>
        </a:prstGeom>
        <a:solidFill>
          <a:srgbClr val="FF33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E" sz="1200" b="1"/>
            <a:t>Clear Sheet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1828800</xdr:colOff>
      <xdr:row>1</xdr:row>
      <xdr:rowOff>74714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D7429E1-3AA5-40EE-B3AD-97C35A1D80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340" b="29787"/>
        <a:stretch/>
      </xdr:blipFill>
      <xdr:spPr>
        <a:xfrm>
          <a:off x="0" y="0"/>
          <a:ext cx="2159000" cy="8176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4"/>
  <sheetViews>
    <sheetView workbookViewId="0">
      <selection activeCell="H15" sqref="H15"/>
    </sheetView>
  </sheetViews>
  <sheetFormatPr defaultRowHeight="14.45"/>
  <cols>
    <col min="1" max="1" width="18.42578125" customWidth="1"/>
    <col min="2" max="2" width="27.28515625" bestFit="1" customWidth="1"/>
    <col min="3" max="3" width="22.85546875" customWidth="1"/>
    <col min="4" max="4" width="15.42578125" customWidth="1"/>
    <col min="5" max="5" width="10.5703125" bestFit="1" customWidth="1"/>
    <col min="8" max="8" width="21.7109375" bestFit="1" customWidth="1"/>
  </cols>
  <sheetData>
    <row r="1" spans="1:8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</row>
    <row r="2" spans="1:8">
      <c r="A2" s="35" t="s">
        <v>5</v>
      </c>
      <c r="B2" s="10" t="s">
        <v>6</v>
      </c>
      <c r="C2" s="10" t="s">
        <v>7</v>
      </c>
      <c r="D2" s="10" t="s">
        <v>7</v>
      </c>
      <c r="E2" s="10" t="s">
        <v>8</v>
      </c>
      <c r="H2" s="23" t="s">
        <v>9</v>
      </c>
    </row>
    <row r="3" spans="1:8">
      <c r="A3" s="36"/>
      <c r="B3" s="10" t="s">
        <v>10</v>
      </c>
      <c r="C3" s="10" t="s">
        <v>11</v>
      </c>
      <c r="D3" s="10" t="s">
        <v>11</v>
      </c>
      <c r="E3" s="10" t="s">
        <v>8</v>
      </c>
      <c r="H3" s="23"/>
    </row>
    <row r="4" spans="1:8">
      <c r="A4" s="27" t="s">
        <v>12</v>
      </c>
      <c r="B4" s="10"/>
      <c r="C4" s="10"/>
      <c r="D4" s="10"/>
      <c r="E4" s="10"/>
      <c r="H4" s="23" t="s">
        <v>13</v>
      </c>
    </row>
    <row r="5" spans="1:8">
      <c r="A5" s="27" t="s">
        <v>14</v>
      </c>
      <c r="B5" s="10"/>
      <c r="C5" s="10"/>
      <c r="D5" s="10"/>
      <c r="E5" s="10"/>
      <c r="H5" s="23" t="s">
        <v>13</v>
      </c>
    </row>
    <row r="6" spans="1:8">
      <c r="A6" s="27" t="s">
        <v>15</v>
      </c>
      <c r="B6" s="10"/>
      <c r="C6" s="10"/>
      <c r="D6" s="10"/>
      <c r="E6" s="10"/>
      <c r="H6" s="23" t="s">
        <v>16</v>
      </c>
    </row>
    <row r="7" spans="1:8">
      <c r="A7" s="27" t="s">
        <v>17</v>
      </c>
      <c r="B7" s="10"/>
      <c r="C7" s="10"/>
      <c r="D7" s="10"/>
      <c r="E7" s="10"/>
      <c r="H7" s="23" t="s">
        <v>18</v>
      </c>
    </row>
    <row r="8" spans="1:8">
      <c r="A8" s="27" t="s">
        <v>19</v>
      </c>
      <c r="B8" s="10" t="s">
        <v>20</v>
      </c>
      <c r="C8" s="10" t="s">
        <v>21</v>
      </c>
      <c r="D8" s="10" t="s">
        <v>21</v>
      </c>
      <c r="E8" s="10" t="s">
        <v>8</v>
      </c>
      <c r="H8" s="23" t="s">
        <v>22</v>
      </c>
    </row>
    <row r="9" spans="1:8">
      <c r="A9" s="27" t="s">
        <v>23</v>
      </c>
      <c r="B9" s="10"/>
      <c r="C9" s="10"/>
      <c r="D9" s="10"/>
      <c r="E9" s="10"/>
      <c r="H9" s="23"/>
    </row>
    <row r="10" spans="1:8">
      <c r="A10" s="27" t="s">
        <v>24</v>
      </c>
      <c r="B10" s="10" t="s">
        <v>25</v>
      </c>
      <c r="C10" s="10" t="s">
        <v>26</v>
      </c>
      <c r="D10" s="10" t="s">
        <v>26</v>
      </c>
      <c r="E10" s="10" t="s">
        <v>8</v>
      </c>
      <c r="H10" s="23"/>
    </row>
    <row r="11" spans="1:8">
      <c r="A11" s="27" t="s">
        <v>27</v>
      </c>
      <c r="B11" s="10"/>
      <c r="C11" s="10"/>
      <c r="D11" s="10"/>
      <c r="E11" s="10"/>
      <c r="H11" s="23"/>
    </row>
    <row r="12" spans="1:8">
      <c r="A12" s="27" t="s">
        <v>28</v>
      </c>
      <c r="B12" s="10"/>
      <c r="C12" s="10"/>
      <c r="D12" s="10"/>
      <c r="E12" s="10"/>
    </row>
    <row r="13" spans="1:8">
      <c r="A13" s="27" t="s">
        <v>29</v>
      </c>
      <c r="B13" s="10" t="s">
        <v>13</v>
      </c>
      <c r="C13" s="10" t="s">
        <v>30</v>
      </c>
      <c r="D13" s="10" t="s">
        <v>31</v>
      </c>
      <c r="E13" s="10" t="s">
        <v>32</v>
      </c>
    </row>
    <row r="14" spans="1:8">
      <c r="A14" s="27" t="s">
        <v>33</v>
      </c>
      <c r="B14" s="10"/>
      <c r="C14" s="10"/>
      <c r="D14" s="10"/>
      <c r="E14" s="10"/>
    </row>
  </sheetData>
  <mergeCells count="1">
    <mergeCell ref="A2:A3"/>
  </mergeCells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39255-7C89-4C69-8CD6-F0F8788D6755}">
  <sheetPr codeName="Sheet6"/>
  <dimension ref="A1:AM29"/>
  <sheetViews>
    <sheetView tabSelected="1" zoomScale="90" zoomScaleNormal="90" workbookViewId="0">
      <selection activeCell="G13" sqref="G13"/>
    </sheetView>
  </sheetViews>
  <sheetFormatPr defaultRowHeight="15"/>
  <cols>
    <col min="1" max="1" width="4.7109375" customWidth="1"/>
    <col min="2" max="2" width="34.28515625" customWidth="1"/>
    <col min="3" max="3" width="5" bestFit="1" customWidth="1"/>
    <col min="4" max="4" width="7.42578125" customWidth="1"/>
    <col min="5" max="5" width="3.140625" bestFit="1" customWidth="1"/>
    <col min="6" max="6" width="3.7109375" bestFit="1" customWidth="1"/>
    <col min="7" max="7" width="7.42578125" bestFit="1" customWidth="1"/>
    <col min="8" max="9" width="3.85546875" customWidth="1"/>
    <col min="10" max="10" width="5.85546875" customWidth="1"/>
    <col min="11" max="11" width="6.42578125" customWidth="1"/>
    <col min="12" max="12" width="3.140625" bestFit="1" customWidth="1"/>
    <col min="13" max="13" width="3.7109375" bestFit="1" customWidth="1"/>
    <col min="14" max="16" width="3.85546875" customWidth="1"/>
    <col min="17" max="17" width="5" bestFit="1" customWidth="1"/>
    <col min="18" max="18" width="6.28515625" customWidth="1"/>
    <col min="19" max="19" width="5.5703125" customWidth="1"/>
    <col min="20" max="20" width="3.7109375" bestFit="1" customWidth="1"/>
    <col min="21" max="21" width="5" customWidth="1"/>
    <col min="22" max="22" width="5" bestFit="1" customWidth="1"/>
    <col min="23" max="23" width="4.140625" bestFit="1" customWidth="1"/>
    <col min="24" max="24" width="5" bestFit="1" customWidth="1"/>
    <col min="25" max="25" width="4.28515625" bestFit="1" customWidth="1"/>
    <col min="26" max="26" width="3.85546875" customWidth="1"/>
    <col min="27" max="27" width="3.7109375" bestFit="1" customWidth="1"/>
    <col min="28" max="30" width="3.85546875" customWidth="1"/>
    <col min="31" max="31" width="5" bestFit="1" customWidth="1"/>
    <col min="32" max="32" width="4.28515625" bestFit="1" customWidth="1"/>
    <col min="33" max="38" width="7.85546875" customWidth="1"/>
    <col min="39" max="39" width="3.5703125" customWidth="1"/>
  </cols>
  <sheetData>
    <row r="1" spans="1:39" ht="58.5" customHeight="1">
      <c r="A1" s="42" t="s">
        <v>34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2" t="s">
        <v>15</v>
      </c>
      <c r="N1" s="43"/>
      <c r="O1" s="43"/>
      <c r="P1" s="43"/>
      <c r="Q1" s="43"/>
      <c r="R1" s="44">
        <v>46221</v>
      </c>
      <c r="S1" s="44"/>
      <c r="T1" s="44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7"/>
    </row>
    <row r="2" spans="1:39">
      <c r="A2" s="25"/>
      <c r="B2" s="45"/>
      <c r="D2" s="26" t="s">
        <v>35</v>
      </c>
      <c r="F2" s="47">
        <f>DATEVALUE("1"&amp;M1)</f>
        <v>46113</v>
      </c>
      <c r="G2" s="47"/>
      <c r="H2" s="47"/>
      <c r="I2" s="45"/>
      <c r="J2" s="45"/>
      <c r="K2" t="s">
        <v>36</v>
      </c>
      <c r="N2" s="47">
        <f>EOMONTH(F2,0)</f>
        <v>46142</v>
      </c>
      <c r="O2" s="47"/>
      <c r="P2" s="47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7"/>
    </row>
    <row r="3" spans="1:39">
      <c r="A3" s="2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7"/>
    </row>
    <row r="4" spans="1:39">
      <c r="A4" s="25"/>
      <c r="B4" s="46"/>
      <c r="C4">
        <f t="shared" ref="C4:AF4" si="0">IFERROR(IF(C6="",1,MATCH(C6,Holidayss,0)),0)</f>
        <v>0</v>
      </c>
      <c r="D4">
        <f t="shared" si="0"/>
        <v>0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M4" s="7"/>
    </row>
    <row r="5" spans="1:39" ht="14.45" customHeight="1">
      <c r="A5" s="38" t="s">
        <v>37</v>
      </c>
      <c r="B5" s="40" t="s">
        <v>38</v>
      </c>
      <c r="C5" s="1" t="str">
        <f>TEXT(C6,"ddd")</f>
        <v>Wed</v>
      </c>
      <c r="D5" s="1" t="str">
        <f t="shared" ref="D5:AF5" si="1">TEXT(D6,"ddd")</f>
        <v>Thu</v>
      </c>
      <c r="E5" s="1" t="str">
        <f t="shared" si="1"/>
        <v>Fri</v>
      </c>
      <c r="F5" s="1" t="str">
        <f t="shared" si="1"/>
        <v>Sat</v>
      </c>
      <c r="G5" s="1" t="str">
        <f t="shared" si="1"/>
        <v>Sun</v>
      </c>
      <c r="H5" s="1" t="str">
        <f t="shared" si="1"/>
        <v>Mon</v>
      </c>
      <c r="I5" s="1" t="str">
        <f t="shared" si="1"/>
        <v>Tue</v>
      </c>
      <c r="J5" s="1" t="str">
        <f t="shared" si="1"/>
        <v>Wed</v>
      </c>
      <c r="K5" s="1" t="str">
        <f t="shared" si="1"/>
        <v>Thu</v>
      </c>
      <c r="L5" s="1" t="str">
        <f t="shared" si="1"/>
        <v>Fri</v>
      </c>
      <c r="M5" s="1" t="str">
        <f t="shared" si="1"/>
        <v>Sat</v>
      </c>
      <c r="N5" s="1" t="str">
        <f t="shared" si="1"/>
        <v>Sun</v>
      </c>
      <c r="O5" s="1" t="str">
        <f t="shared" si="1"/>
        <v>Mon</v>
      </c>
      <c r="P5" s="1" t="str">
        <f t="shared" si="1"/>
        <v>Tue</v>
      </c>
      <c r="Q5" s="1" t="str">
        <f t="shared" si="1"/>
        <v>Wed</v>
      </c>
      <c r="R5" s="1" t="str">
        <f t="shared" si="1"/>
        <v>Thu</v>
      </c>
      <c r="S5" s="1" t="str">
        <f t="shared" si="1"/>
        <v>Fri</v>
      </c>
      <c r="T5" s="1" t="str">
        <f t="shared" si="1"/>
        <v>Sat</v>
      </c>
      <c r="U5" s="1" t="str">
        <f t="shared" si="1"/>
        <v>Sun</v>
      </c>
      <c r="V5" s="1" t="str">
        <f t="shared" si="1"/>
        <v>Mon</v>
      </c>
      <c r="W5" s="1" t="str">
        <f t="shared" si="1"/>
        <v>Tue</v>
      </c>
      <c r="X5" s="1" t="str">
        <f t="shared" si="1"/>
        <v>Wed</v>
      </c>
      <c r="Y5" s="1" t="str">
        <f t="shared" si="1"/>
        <v>Thu</v>
      </c>
      <c r="Z5" s="1" t="str">
        <f t="shared" si="1"/>
        <v>Fri</v>
      </c>
      <c r="AA5" s="1" t="str">
        <f t="shared" si="1"/>
        <v>Sat</v>
      </c>
      <c r="AB5" s="1" t="str">
        <f t="shared" si="1"/>
        <v>Sun</v>
      </c>
      <c r="AC5" s="1" t="str">
        <f t="shared" si="1"/>
        <v>Mon</v>
      </c>
      <c r="AD5" s="1" t="str">
        <f t="shared" si="1"/>
        <v>Tue</v>
      </c>
      <c r="AE5" s="1" t="str">
        <f t="shared" si="1"/>
        <v>Wed</v>
      </c>
      <c r="AF5" s="1" t="str">
        <f t="shared" si="1"/>
        <v>Thu</v>
      </c>
      <c r="AG5" s="37" t="s">
        <v>39</v>
      </c>
      <c r="AH5" s="37" t="s">
        <v>40</v>
      </c>
      <c r="AI5" s="37" t="s">
        <v>41</v>
      </c>
      <c r="AJ5" s="37" t="s">
        <v>42</v>
      </c>
      <c r="AK5" s="37" t="s">
        <v>43</v>
      </c>
      <c r="AL5" s="37" t="s">
        <v>44</v>
      </c>
      <c r="AM5" s="7"/>
    </row>
    <row r="6" spans="1:39" ht="14.45" customHeight="1">
      <c r="A6" s="39"/>
      <c r="B6" s="41"/>
      <c r="C6" s="2">
        <f>F2</f>
        <v>46113</v>
      </c>
      <c r="D6" s="2">
        <f t="shared" ref="D6:AF6" si="2">IF(C6&lt;$N$2,C6+1,"")</f>
        <v>46114</v>
      </c>
      <c r="E6" s="2">
        <f t="shared" si="2"/>
        <v>46115</v>
      </c>
      <c r="F6" s="2">
        <f t="shared" si="2"/>
        <v>46116</v>
      </c>
      <c r="G6" s="2">
        <f t="shared" si="2"/>
        <v>46117</v>
      </c>
      <c r="H6" s="2">
        <f t="shared" si="2"/>
        <v>46118</v>
      </c>
      <c r="I6" s="2">
        <f t="shared" si="2"/>
        <v>46119</v>
      </c>
      <c r="J6" s="2">
        <f t="shared" si="2"/>
        <v>46120</v>
      </c>
      <c r="K6" s="2">
        <f t="shared" si="2"/>
        <v>46121</v>
      </c>
      <c r="L6" s="2">
        <f t="shared" si="2"/>
        <v>46122</v>
      </c>
      <c r="M6" s="2">
        <f t="shared" si="2"/>
        <v>46123</v>
      </c>
      <c r="N6" s="2">
        <f t="shared" si="2"/>
        <v>46124</v>
      </c>
      <c r="O6" s="2">
        <f t="shared" si="2"/>
        <v>46125</v>
      </c>
      <c r="P6" s="2">
        <f t="shared" si="2"/>
        <v>46126</v>
      </c>
      <c r="Q6" s="2">
        <f t="shared" si="2"/>
        <v>46127</v>
      </c>
      <c r="R6" s="2">
        <f t="shared" si="2"/>
        <v>46128</v>
      </c>
      <c r="S6" s="2">
        <f t="shared" si="2"/>
        <v>46129</v>
      </c>
      <c r="T6" s="2">
        <f t="shared" si="2"/>
        <v>46130</v>
      </c>
      <c r="U6" s="2">
        <f t="shared" si="2"/>
        <v>46131</v>
      </c>
      <c r="V6" s="2">
        <f t="shared" si="2"/>
        <v>46132</v>
      </c>
      <c r="W6" s="2">
        <f t="shared" si="2"/>
        <v>46133</v>
      </c>
      <c r="X6" s="2">
        <f t="shared" si="2"/>
        <v>46134</v>
      </c>
      <c r="Y6" s="2">
        <f t="shared" si="2"/>
        <v>46135</v>
      </c>
      <c r="Z6" s="2">
        <f t="shared" si="2"/>
        <v>46136</v>
      </c>
      <c r="AA6" s="2">
        <f t="shared" si="2"/>
        <v>46137</v>
      </c>
      <c r="AB6" s="2">
        <f t="shared" si="2"/>
        <v>46138</v>
      </c>
      <c r="AC6" s="2">
        <f t="shared" si="2"/>
        <v>46139</v>
      </c>
      <c r="AD6" s="2">
        <f t="shared" si="2"/>
        <v>46140</v>
      </c>
      <c r="AE6" s="2">
        <f t="shared" si="2"/>
        <v>46141</v>
      </c>
      <c r="AF6" s="2">
        <f t="shared" si="2"/>
        <v>46142</v>
      </c>
      <c r="AG6" s="37"/>
      <c r="AH6" s="37"/>
      <c r="AI6" s="37"/>
      <c r="AJ6" s="37"/>
      <c r="AK6" s="37"/>
      <c r="AL6" s="37"/>
      <c r="AM6" s="7"/>
    </row>
    <row r="7" spans="1:39">
      <c r="A7" s="5">
        <v>1</v>
      </c>
      <c r="B7" s="10" t="s">
        <v>45</v>
      </c>
      <c r="C7" s="9" t="s">
        <v>46</v>
      </c>
      <c r="D7" s="24" t="s">
        <v>46</v>
      </c>
      <c r="E7" s="24"/>
      <c r="F7" s="24"/>
      <c r="G7" s="24" t="s">
        <v>46</v>
      </c>
      <c r="H7" s="9"/>
      <c r="I7" s="9"/>
      <c r="J7" s="9"/>
      <c r="K7" s="9"/>
      <c r="L7" s="9"/>
      <c r="M7" s="9"/>
      <c r="N7" s="9"/>
      <c r="O7" s="3"/>
      <c r="P7" s="3"/>
      <c r="Q7" s="9"/>
      <c r="R7" s="9"/>
      <c r="S7" s="9"/>
      <c r="T7" s="3"/>
      <c r="U7" s="9"/>
      <c r="V7" s="3"/>
      <c r="W7" s="3"/>
      <c r="X7" s="9"/>
      <c r="Y7" s="9"/>
      <c r="Z7" s="3"/>
      <c r="AA7" s="3"/>
      <c r="AB7" s="3"/>
      <c r="AC7" s="3"/>
      <c r="AD7" s="3"/>
      <c r="AE7" s="3"/>
      <c r="AF7" s="3"/>
      <c r="AG7" s="3" cm="1">
        <f t="array" ref="AG7">SUMPRODUCT((C7:AF7="P")*($C$5:$AF$5&lt;&gt;"Fri")*($C$5:$AF$5&lt;&gt;"Sat")*($C$4:$AF$4=0))</f>
        <v>3</v>
      </c>
      <c r="AH7" s="3" cm="1">
        <f t="array" ref="AH7">SUMPRODUCT((C7:AF7="A")*($C$5:$AF$5&lt;&gt;"Fri")*($C$5:$AF$5&lt;&gt;"Sat")*($C$4:$AF$4=0))</f>
        <v>0</v>
      </c>
      <c r="AI7" s="3" cm="1">
        <f t="array" ref="AI7">SUMPRODUCT((C7:AF7="H")*($C$5:$AF$5&lt;&gt;"Fri")*($C$5:$AF$5&lt;&gt;"Sat")*($C$4:$AF$4=0))</f>
        <v>0</v>
      </c>
      <c r="AJ7" s="3" cm="1">
        <f t="array" ref="AJ7">SUMPRODUCT(($C$5:$AF$5&lt;&gt;"Fri")*($C$5:$AF$5&lt;&gt;"Sat")*($C$4:$AF$4=0))</f>
        <v>22</v>
      </c>
      <c r="AK7" s="4">
        <f>(AG7+AI7*0.5)/AJ7</f>
        <v>0.13636363636363635</v>
      </c>
      <c r="AL7" s="4">
        <f>(AH7/AJ7)</f>
        <v>0</v>
      </c>
      <c r="AM7" s="7"/>
    </row>
    <row r="8" spans="1:39" ht="14.45" customHeight="1">
      <c r="A8" s="5">
        <v>2</v>
      </c>
      <c r="B8" s="11" t="s">
        <v>47</v>
      </c>
      <c r="C8" s="9" t="s">
        <v>46</v>
      </c>
      <c r="D8" s="24" t="s">
        <v>46</v>
      </c>
      <c r="E8" s="24"/>
      <c r="F8" s="24"/>
      <c r="G8" s="24" t="s">
        <v>46</v>
      </c>
      <c r="H8" s="9"/>
      <c r="I8" s="9"/>
      <c r="J8" s="9"/>
      <c r="K8" s="9"/>
      <c r="L8" s="9"/>
      <c r="M8" s="9"/>
      <c r="N8" s="9"/>
      <c r="O8" s="3"/>
      <c r="P8" s="3"/>
      <c r="Q8" s="9"/>
      <c r="R8" s="9"/>
      <c r="S8" s="9"/>
      <c r="T8" s="3"/>
      <c r="U8" s="9"/>
      <c r="V8" s="3"/>
      <c r="W8" s="3"/>
      <c r="X8" s="9"/>
      <c r="Y8" s="9"/>
      <c r="Z8" s="3"/>
      <c r="AA8" s="3"/>
      <c r="AB8" s="3"/>
      <c r="AC8" s="3"/>
      <c r="AD8" s="3"/>
      <c r="AE8" s="3"/>
      <c r="AF8" s="3"/>
      <c r="AG8" s="3" cm="1">
        <f t="array" ref="AG8">SUMPRODUCT((C8:AF8="P")*($C$5:$AF$5&lt;&gt;"Fri")*($C$5:$AF$5&lt;&gt;"Sat")*($C$4:$AF$4=0))</f>
        <v>3</v>
      </c>
      <c r="AH8" s="3" cm="1">
        <f t="array" ref="AH8">SUMPRODUCT((C8:AF8="A")*($C$5:$AF$5&lt;&gt;"Fri")*($C$5:$AF$5&lt;&gt;"Sat")*($C$4:$AF$4=0))</f>
        <v>0</v>
      </c>
      <c r="AI8" s="3" cm="1">
        <f t="array" ref="AI8">SUMPRODUCT((C8:AF8="H")*($C$5:$AF$5&lt;&gt;"Fri")*($C$5:$AF$5&lt;&gt;"Sat")*($C$4:$AF$4=0))</f>
        <v>0</v>
      </c>
      <c r="AJ8" s="3" cm="1">
        <f t="array" ref="AJ8">SUMPRODUCT(($C$5:$AF$5&lt;&gt;"Fri")*($C$5:$AF$5&lt;&gt;"Sat")*($C$4:$AF$4=0))</f>
        <v>22</v>
      </c>
      <c r="AK8" s="4">
        <f t="shared" ref="AK8:AK26" si="3">(AG8+AI8*0.5)/AJ8</f>
        <v>0.13636363636363635</v>
      </c>
      <c r="AL8" s="4">
        <f t="shared" ref="AL8:AL26" si="4">(AH8/AJ8)</f>
        <v>0</v>
      </c>
      <c r="AM8" s="7"/>
    </row>
    <row r="9" spans="1:39">
      <c r="A9" s="5">
        <v>3</v>
      </c>
      <c r="B9" s="10" t="s">
        <v>48</v>
      </c>
      <c r="C9" s="9" t="s">
        <v>46</v>
      </c>
      <c r="D9" s="24" t="s">
        <v>46</v>
      </c>
      <c r="E9" s="24"/>
      <c r="F9" s="24"/>
      <c r="G9" s="24" t="s">
        <v>46</v>
      </c>
      <c r="H9" s="9"/>
      <c r="I9" s="9"/>
      <c r="J9" s="9"/>
      <c r="K9" s="9"/>
      <c r="L9" s="9"/>
      <c r="M9" s="9"/>
      <c r="N9" s="9"/>
      <c r="O9" s="3"/>
      <c r="P9" s="3"/>
      <c r="Q9" s="9"/>
      <c r="R9" s="9"/>
      <c r="S9" s="9"/>
      <c r="T9" s="3"/>
      <c r="U9" s="9"/>
      <c r="V9" s="3"/>
      <c r="W9" s="3"/>
      <c r="X9" s="9"/>
      <c r="Y9" s="9"/>
      <c r="Z9" s="3"/>
      <c r="AA9" s="3"/>
      <c r="AB9" s="3"/>
      <c r="AC9" s="3"/>
      <c r="AD9" s="3"/>
      <c r="AE9" s="3"/>
      <c r="AF9" s="3"/>
      <c r="AG9" s="3" cm="1">
        <f t="array" ref="AG9">SUMPRODUCT((C9:AF9="P")*($C$5:$AF$5&lt;&gt;"Fri")*($C$5:$AF$5&lt;&gt;"Sat")*($C$4:$AF$4=0))</f>
        <v>3</v>
      </c>
      <c r="AH9" s="3" cm="1">
        <f t="array" ref="AH9">SUMPRODUCT((C9:AF9="A")*($C$5:$AF$5&lt;&gt;"Fri")*($C$5:$AF$5&lt;&gt;"Sat")*($C$4:$AF$4=0))</f>
        <v>0</v>
      </c>
      <c r="AI9" s="3" cm="1">
        <f t="array" ref="AI9">SUMPRODUCT((C9:AF9="H")*($C$5:$AF$5&lt;&gt;"Fri")*($C$5:$AF$5&lt;&gt;"Sat")*($C$4:$AF$4=0))</f>
        <v>0</v>
      </c>
      <c r="AJ9" s="3" cm="1">
        <f t="array" ref="AJ9">SUMPRODUCT(($C$5:$AF$5&lt;&gt;"Fri")*($C$5:$AF$5&lt;&gt;"Sat")*($C$4:$AF$4=0))</f>
        <v>22</v>
      </c>
      <c r="AK9" s="4">
        <f t="shared" si="3"/>
        <v>0.13636363636363635</v>
      </c>
      <c r="AL9" s="4">
        <f t="shared" si="4"/>
        <v>0</v>
      </c>
      <c r="AM9" s="7"/>
    </row>
    <row r="10" spans="1:39">
      <c r="A10" s="5">
        <v>4</v>
      </c>
      <c r="B10" s="10" t="s">
        <v>49</v>
      </c>
      <c r="C10" s="9" t="s">
        <v>46</v>
      </c>
      <c r="D10" s="24" t="s">
        <v>46</v>
      </c>
      <c r="E10" s="24"/>
      <c r="F10" s="24"/>
      <c r="G10" s="24" t="s">
        <v>46</v>
      </c>
      <c r="H10" s="9"/>
      <c r="I10" s="9"/>
      <c r="J10" s="9"/>
      <c r="K10" s="9"/>
      <c r="L10" s="9"/>
      <c r="M10" s="9"/>
      <c r="N10" s="9"/>
      <c r="O10" s="3"/>
      <c r="P10" s="3"/>
      <c r="Q10" s="9"/>
      <c r="R10" s="9"/>
      <c r="S10" s="9"/>
      <c r="T10" s="9"/>
      <c r="U10" s="9"/>
      <c r="V10" s="3"/>
      <c r="W10" s="3"/>
      <c r="X10" s="9"/>
      <c r="Y10" s="9"/>
      <c r="Z10" s="3"/>
      <c r="AA10" s="3"/>
      <c r="AB10" s="3"/>
      <c r="AC10" s="3"/>
      <c r="AD10" s="3"/>
      <c r="AE10" s="3"/>
      <c r="AF10" s="3"/>
      <c r="AG10" s="3" cm="1">
        <f t="array" ref="AG10">SUMPRODUCT((C10:AF10="P")*($C$5:$AF$5&lt;&gt;"Fri")*($C$5:$AF$5&lt;&gt;"Sat")*($C$4:$AF$4=0))</f>
        <v>3</v>
      </c>
      <c r="AH10" s="3" cm="1">
        <f t="array" ref="AH10">SUMPRODUCT((C10:AF10="A")*($C$5:$AF$5&lt;&gt;"Fri")*($C$5:$AF$5&lt;&gt;"Sat")*($C$4:$AF$4=0))</f>
        <v>0</v>
      </c>
      <c r="AI10" s="3" cm="1">
        <f t="array" ref="AI10">SUMPRODUCT((C10:AF10="H")*($C$5:$AF$5&lt;&gt;"Fri")*($C$5:$AF$5&lt;&gt;"Sat")*($C$4:$AF$4=0))</f>
        <v>0</v>
      </c>
      <c r="AJ10" s="3" cm="1">
        <f t="array" ref="AJ10">SUMPRODUCT(($C$5:$AF$5&lt;&gt;"Fri")*($C$5:$AF$5&lt;&gt;"Sat")*($C$4:$AF$4=0))</f>
        <v>22</v>
      </c>
      <c r="AK10" s="4">
        <f t="shared" si="3"/>
        <v>0.13636363636363635</v>
      </c>
      <c r="AL10" s="4">
        <f t="shared" si="4"/>
        <v>0</v>
      </c>
      <c r="AM10" s="7"/>
    </row>
    <row r="11" spans="1:39">
      <c r="A11" s="5">
        <v>5</v>
      </c>
      <c r="B11" s="10" t="s">
        <v>50</v>
      </c>
      <c r="C11" s="9" t="s">
        <v>46</v>
      </c>
      <c r="D11" s="24" t="s">
        <v>46</v>
      </c>
      <c r="E11" s="24"/>
      <c r="F11" s="24"/>
      <c r="G11" s="24" t="s">
        <v>46</v>
      </c>
      <c r="H11" s="9"/>
      <c r="I11" s="9"/>
      <c r="J11" s="9"/>
      <c r="K11" s="9"/>
      <c r="L11" s="9"/>
      <c r="M11" s="9"/>
      <c r="N11" s="9"/>
      <c r="O11" s="3"/>
      <c r="P11" s="3"/>
      <c r="Q11" s="34"/>
      <c r="R11" s="9"/>
      <c r="S11" s="9"/>
      <c r="T11" s="3"/>
      <c r="U11" s="9"/>
      <c r="V11" s="3"/>
      <c r="W11" s="3"/>
      <c r="X11" s="9"/>
      <c r="Y11" s="9"/>
      <c r="Z11" s="3"/>
      <c r="AA11" s="3"/>
      <c r="AB11" s="3"/>
      <c r="AC11" s="3"/>
      <c r="AD11" s="3"/>
      <c r="AE11" s="3"/>
      <c r="AF11" s="3"/>
      <c r="AG11" s="3" cm="1">
        <f t="array" ref="AG11">SUMPRODUCT((C11:AF11="P")*($C$5:$AF$5&lt;&gt;"Fri")*($C$5:$AF$5&lt;&gt;"Sat")*($C$4:$AF$4=0))</f>
        <v>3</v>
      </c>
      <c r="AH11" s="3" cm="1">
        <f t="array" ref="AH11">SUMPRODUCT((C11:AF11="A")*($C$5:$AF$5&lt;&gt;"Fri")*($C$5:$AF$5&lt;&gt;"Sat")*($C$4:$AF$4=0))</f>
        <v>0</v>
      </c>
      <c r="AI11" s="3" cm="1">
        <f t="array" ref="AI11">SUMPRODUCT((C11:AF11="H")*($C$5:$AF$5&lt;&gt;"Fri")*($C$5:$AF$5&lt;&gt;"Sat")*($C$4:$AF$4=0))</f>
        <v>0</v>
      </c>
      <c r="AJ11" s="3" cm="1">
        <f t="array" ref="AJ11">SUMPRODUCT(($C$5:$AF$5&lt;&gt;"Fri")*($C$5:$AF$5&lt;&gt;"Sat")*($C$4:$AF$4=0))</f>
        <v>22</v>
      </c>
      <c r="AK11" s="4">
        <f t="shared" si="3"/>
        <v>0.13636363636363635</v>
      </c>
      <c r="AL11" s="4">
        <f t="shared" si="4"/>
        <v>0</v>
      </c>
      <c r="AM11" s="7"/>
    </row>
    <row r="12" spans="1:39">
      <c r="A12" s="5">
        <v>6</v>
      </c>
      <c r="B12" s="10" t="s">
        <v>51</v>
      </c>
      <c r="C12" s="9" t="s">
        <v>46</v>
      </c>
      <c r="D12" s="24" t="s">
        <v>46</v>
      </c>
      <c r="E12" s="24"/>
      <c r="F12" s="24"/>
      <c r="G12" s="24" t="s">
        <v>46</v>
      </c>
      <c r="H12" s="9"/>
      <c r="I12" s="9"/>
      <c r="J12" s="9"/>
      <c r="K12" s="9"/>
      <c r="L12" s="9"/>
      <c r="M12" s="9"/>
      <c r="N12" s="9"/>
      <c r="O12" s="3"/>
      <c r="P12" s="3"/>
      <c r="Q12" s="9"/>
      <c r="R12" s="9"/>
      <c r="S12" s="9"/>
      <c r="T12" s="3"/>
      <c r="U12" s="9"/>
      <c r="V12" s="3"/>
      <c r="W12" s="3"/>
      <c r="X12" s="9"/>
      <c r="Y12" s="9"/>
      <c r="Z12" s="3"/>
      <c r="AA12" s="3"/>
      <c r="AB12" s="3"/>
      <c r="AC12" s="3"/>
      <c r="AD12" s="3"/>
      <c r="AE12" s="3"/>
      <c r="AF12" s="33"/>
      <c r="AG12" s="3" cm="1">
        <f t="array" ref="AG12">SUMPRODUCT((C12:AF12="P")*($C$5:$AF$5&lt;&gt;"Fri")*($C$5:$AF$5&lt;&gt;"Sat")*($C$4:$AF$4=0))</f>
        <v>3</v>
      </c>
      <c r="AH12" s="3" cm="1">
        <f t="array" ref="AH12">SUMPRODUCT((C12:AF12="A")*($C$5:$AF$5&lt;&gt;"Fri")*($C$5:$AF$5&lt;&gt;"Sat")*($C$4:$AF$4=0))</f>
        <v>0</v>
      </c>
      <c r="AI12" s="3" cm="1">
        <f t="array" ref="AI12">SUMPRODUCT((C12:AF12="H")*($C$5:$AF$5&lt;&gt;"Fri")*($C$5:$AF$5&lt;&gt;"Sat")*($C$4:$AF$4=0))</f>
        <v>0</v>
      </c>
      <c r="AJ12" s="3" cm="1">
        <f t="array" ref="AJ12">SUMPRODUCT(($C$5:$AF$5&lt;&gt;"Fri")*($C$5:$AF$5&lt;&gt;"Sat")*($C$4:$AF$4=0))</f>
        <v>22</v>
      </c>
      <c r="AK12" s="4">
        <f t="shared" si="3"/>
        <v>0.13636363636363635</v>
      </c>
      <c r="AL12" s="4">
        <f t="shared" si="4"/>
        <v>0</v>
      </c>
      <c r="AM12" s="7"/>
    </row>
    <row r="13" spans="1:39">
      <c r="A13" s="5">
        <v>7</v>
      </c>
      <c r="B13" s="12" t="s">
        <v>52</v>
      </c>
      <c r="C13" s="9" t="s">
        <v>46</v>
      </c>
      <c r="D13" s="24" t="s">
        <v>46</v>
      </c>
      <c r="E13" s="24"/>
      <c r="F13" s="24"/>
      <c r="G13" s="24" t="s">
        <v>53</v>
      </c>
      <c r="H13" s="9"/>
      <c r="I13" s="9"/>
      <c r="J13" s="9"/>
      <c r="K13" s="9"/>
      <c r="L13" s="9"/>
      <c r="M13" s="9"/>
      <c r="N13" s="9"/>
      <c r="O13" s="3"/>
      <c r="P13" s="3"/>
      <c r="Q13" s="9"/>
      <c r="R13" s="9"/>
      <c r="S13" s="3"/>
      <c r="T13" s="3"/>
      <c r="U13" s="9"/>
      <c r="V13" s="3"/>
      <c r="W13" s="3"/>
      <c r="X13" s="9"/>
      <c r="Y13" s="9"/>
      <c r="Z13" s="3"/>
      <c r="AA13" s="3"/>
      <c r="AB13" s="3"/>
      <c r="AC13" s="3"/>
      <c r="AD13" s="3"/>
      <c r="AE13" s="3"/>
      <c r="AF13" s="3"/>
      <c r="AG13" s="3" cm="1">
        <f t="array" ref="AG13">SUMPRODUCT((C13:AF13="P")*($C$5:$AF$5&lt;&gt;"Fri")*($C$5:$AF$5&lt;&gt;"Sat")*($C$4:$AF$4=0))</f>
        <v>2</v>
      </c>
      <c r="AH13" s="3" cm="1">
        <f t="array" ref="AH13">SUMPRODUCT((C13:AF13="A")*($C$5:$AF$5&lt;&gt;"Fri")*($C$5:$AF$5&lt;&gt;"Sat")*($C$4:$AF$4=0))</f>
        <v>0</v>
      </c>
      <c r="AI13" s="3" cm="1">
        <f t="array" ref="AI13">SUMPRODUCT((C13:AF13="H")*($C$5:$AF$5&lt;&gt;"Fri")*($C$5:$AF$5&lt;&gt;"Sat")*($C$4:$AF$4=0))</f>
        <v>0</v>
      </c>
      <c r="AJ13" s="3" cm="1">
        <f t="array" ref="AJ13">SUMPRODUCT(($C$5:$AF$5&lt;&gt;"Fri")*($C$5:$AF$5&lt;&gt;"Sat")*($C$4:$AF$4=0))</f>
        <v>22</v>
      </c>
      <c r="AK13" s="4">
        <f t="shared" si="3"/>
        <v>9.0909090909090912E-2</v>
      </c>
      <c r="AL13" s="4">
        <f t="shared" si="4"/>
        <v>0</v>
      </c>
      <c r="AM13" s="7"/>
    </row>
    <row r="14" spans="1:39">
      <c r="A14" s="5">
        <v>8</v>
      </c>
      <c r="B14" s="10" t="s">
        <v>54</v>
      </c>
      <c r="C14" s="9" t="s">
        <v>46</v>
      </c>
      <c r="D14" s="24" t="s">
        <v>46</v>
      </c>
      <c r="E14" s="24"/>
      <c r="F14" s="24"/>
      <c r="G14" s="24" t="s">
        <v>46</v>
      </c>
      <c r="H14" s="9"/>
      <c r="I14" s="9"/>
      <c r="J14" s="9"/>
      <c r="K14" s="9"/>
      <c r="L14" s="9"/>
      <c r="M14" s="9"/>
      <c r="N14" s="9"/>
      <c r="O14" s="3"/>
      <c r="P14" s="3"/>
      <c r="Q14" s="9"/>
      <c r="R14" s="9"/>
      <c r="S14" s="9"/>
      <c r="T14" s="3"/>
      <c r="U14" s="9"/>
      <c r="V14" s="3"/>
      <c r="W14" s="3"/>
      <c r="X14" s="9"/>
      <c r="Y14" s="9"/>
      <c r="Z14" s="3"/>
      <c r="AA14" s="3"/>
      <c r="AB14" s="3"/>
      <c r="AC14" s="3"/>
      <c r="AD14" s="3"/>
      <c r="AE14" s="3"/>
      <c r="AF14" s="3"/>
      <c r="AG14" s="3" cm="1">
        <f t="array" ref="AG14">SUMPRODUCT((C14:AF14="P")*($C$5:$AF$5&lt;&gt;"Fri")*($C$5:$AF$5&lt;&gt;"Sat")*($C$4:$AF$4=0))</f>
        <v>3</v>
      </c>
      <c r="AH14" s="3" cm="1">
        <f t="array" ref="AH14">SUMPRODUCT((C14:AF14="A")*($C$5:$AF$5&lt;&gt;"Fri")*($C$5:$AF$5&lt;&gt;"Sat")*($C$4:$AF$4=0))</f>
        <v>0</v>
      </c>
      <c r="AI14" s="3" cm="1">
        <f t="array" ref="AI14">SUMPRODUCT((C14:AF14="H")*($C$5:$AF$5&lt;&gt;"Fri")*($C$5:$AF$5&lt;&gt;"Sat")*($C$4:$AF$4=0))</f>
        <v>0</v>
      </c>
      <c r="AJ14" s="3" cm="1">
        <f t="array" ref="AJ14">SUMPRODUCT(($C$5:$AF$5&lt;&gt;"Fri")*($C$5:$AF$5&lt;&gt;"Sat")*($C$4:$AF$4=0))</f>
        <v>22</v>
      </c>
      <c r="AK14" s="4">
        <f t="shared" si="3"/>
        <v>0.13636363636363635</v>
      </c>
      <c r="AL14" s="4">
        <f t="shared" si="4"/>
        <v>0</v>
      </c>
      <c r="AM14" s="7"/>
    </row>
    <row r="15" spans="1:39">
      <c r="A15" s="5">
        <v>9</v>
      </c>
      <c r="B15" s="10" t="s">
        <v>55</v>
      </c>
      <c r="C15" s="9" t="s">
        <v>46</v>
      </c>
      <c r="D15" s="24" t="s">
        <v>46</v>
      </c>
      <c r="E15" s="24"/>
      <c r="F15" s="24"/>
      <c r="G15" s="24" t="s">
        <v>46</v>
      </c>
      <c r="H15" s="9"/>
      <c r="I15" s="9"/>
      <c r="J15" s="9"/>
      <c r="K15" s="34"/>
      <c r="L15" s="34"/>
      <c r="M15" s="9"/>
      <c r="N15" s="9"/>
      <c r="O15" s="3"/>
      <c r="P15" s="3"/>
      <c r="Q15" s="9"/>
      <c r="R15" s="9"/>
      <c r="S15" s="9"/>
      <c r="T15" s="3"/>
      <c r="U15" s="9"/>
      <c r="V15" s="3"/>
      <c r="W15" s="3"/>
      <c r="X15" s="9"/>
      <c r="Y15" s="9"/>
      <c r="Z15" s="3"/>
      <c r="AA15" s="3"/>
      <c r="AB15" s="3"/>
      <c r="AC15" s="3"/>
      <c r="AD15" s="3"/>
      <c r="AE15" s="3"/>
      <c r="AF15" s="3"/>
      <c r="AG15" s="3" cm="1">
        <f t="array" ref="AG15">SUMPRODUCT((C15:AF15="P")*($C$5:$AF$5&lt;&gt;"Fri")*($C$5:$AF$5&lt;&gt;"Sat")*($C$4:$AF$4=0))</f>
        <v>3</v>
      </c>
      <c r="AH15" s="3" cm="1">
        <f t="array" ref="AH15">SUMPRODUCT((C15:AF15="A")*($C$5:$AF$5&lt;&gt;"Fri")*($C$5:$AF$5&lt;&gt;"Sat")*($C$4:$AF$4=0))</f>
        <v>0</v>
      </c>
      <c r="AI15" s="3" cm="1">
        <f t="array" ref="AI15">SUMPRODUCT((C15:AF15="H")*($C$5:$AF$5&lt;&gt;"Fri")*($C$5:$AF$5&lt;&gt;"Sat")*($C$4:$AF$4=0))</f>
        <v>0</v>
      </c>
      <c r="AJ15" s="3" cm="1">
        <f t="array" ref="AJ15">SUMPRODUCT(($C$5:$AF$5&lt;&gt;"Fri")*($C$5:$AF$5&lt;&gt;"Sat")*($C$4:$AF$4=0))</f>
        <v>22</v>
      </c>
      <c r="AK15" s="4">
        <f t="shared" si="3"/>
        <v>0.13636363636363635</v>
      </c>
      <c r="AL15" s="4">
        <f t="shared" si="4"/>
        <v>0</v>
      </c>
      <c r="AM15" s="7"/>
    </row>
    <row r="16" spans="1:39">
      <c r="A16" s="5">
        <v>10</v>
      </c>
      <c r="B16" s="10" t="s">
        <v>56</v>
      </c>
      <c r="C16" s="9" t="s">
        <v>46</v>
      </c>
      <c r="D16" s="24" t="s">
        <v>46</v>
      </c>
      <c r="E16" s="24"/>
      <c r="F16" s="24"/>
      <c r="G16" s="24" t="s">
        <v>53</v>
      </c>
      <c r="H16" s="9"/>
      <c r="I16" s="9"/>
      <c r="J16" s="9"/>
      <c r="K16" s="9"/>
      <c r="L16" s="34"/>
      <c r="M16" s="9"/>
      <c r="N16" s="9"/>
      <c r="O16" s="3"/>
      <c r="P16" s="3"/>
      <c r="Q16" s="9"/>
      <c r="R16" s="9"/>
      <c r="S16" s="9"/>
      <c r="T16" s="3"/>
      <c r="U16" s="9"/>
      <c r="V16" s="3"/>
      <c r="W16" s="3"/>
      <c r="X16" s="9"/>
      <c r="Y16" s="9"/>
      <c r="Z16" s="3"/>
      <c r="AA16" s="3"/>
      <c r="AB16" s="3"/>
      <c r="AC16" s="3"/>
      <c r="AD16" s="3"/>
      <c r="AE16" s="3"/>
      <c r="AF16" s="3"/>
      <c r="AG16" s="3" cm="1">
        <f t="array" ref="AG16">SUMPRODUCT((C16:AF16="P")*($C$5:$AF$5&lt;&gt;"Fri")*($C$5:$AF$5&lt;&gt;"Sat")*($C$4:$AF$4=0))</f>
        <v>2</v>
      </c>
      <c r="AH16" s="3" cm="1">
        <f t="array" ref="AH16">SUMPRODUCT((C16:AF16="A")*($C$5:$AF$5&lt;&gt;"Fri")*($C$5:$AF$5&lt;&gt;"Sat")*($C$4:$AF$4=0))</f>
        <v>0</v>
      </c>
      <c r="AI16" s="3" cm="1">
        <f t="array" ref="AI16">SUMPRODUCT((C16:AF16="H")*($C$5:$AF$5&lt;&gt;"Fri")*($C$5:$AF$5&lt;&gt;"Sat")*($C$4:$AF$4=0))</f>
        <v>0</v>
      </c>
      <c r="AJ16" s="3" cm="1">
        <f t="array" ref="AJ16">SUMPRODUCT(($C$5:$AF$5&lt;&gt;"Fri")*($C$5:$AF$5&lt;&gt;"Sat")*($C$4:$AF$4=0))</f>
        <v>22</v>
      </c>
      <c r="AK16" s="4">
        <f t="shared" si="3"/>
        <v>9.0909090909090912E-2</v>
      </c>
      <c r="AL16" s="4">
        <f t="shared" si="4"/>
        <v>0</v>
      </c>
      <c r="AM16" s="7"/>
    </row>
    <row r="17" spans="1:39">
      <c r="A17" s="5">
        <v>11</v>
      </c>
      <c r="B17" s="10" t="s">
        <v>57</v>
      </c>
      <c r="C17" s="9" t="s">
        <v>46</v>
      </c>
      <c r="D17" s="24" t="s">
        <v>46</v>
      </c>
      <c r="E17" s="24"/>
      <c r="F17" s="24"/>
      <c r="G17" s="24" t="s">
        <v>46</v>
      </c>
      <c r="H17" s="9"/>
      <c r="I17" s="9"/>
      <c r="J17" s="9"/>
      <c r="K17" s="9"/>
      <c r="L17" s="9"/>
      <c r="M17" s="9"/>
      <c r="N17" s="9"/>
      <c r="O17" s="3"/>
      <c r="P17" s="3"/>
      <c r="Q17" s="9"/>
      <c r="R17" s="9"/>
      <c r="S17" s="9"/>
      <c r="T17" s="3"/>
      <c r="U17" s="9"/>
      <c r="V17" s="3"/>
      <c r="W17" s="3"/>
      <c r="X17" s="9"/>
      <c r="Y17" s="9"/>
      <c r="Z17" s="3"/>
      <c r="AA17" s="3"/>
      <c r="AB17" s="3"/>
      <c r="AC17" s="3"/>
      <c r="AD17" s="3"/>
      <c r="AE17" s="3"/>
      <c r="AF17" s="3"/>
      <c r="AG17" s="3" cm="1">
        <f t="array" ref="AG17">SUMPRODUCT((C17:AF17="P")*($C$5:$AF$5&lt;&gt;"Fri")*($C$5:$AF$5&lt;&gt;"Sat")*($C$4:$AF$4=0))</f>
        <v>3</v>
      </c>
      <c r="AH17" s="3" cm="1">
        <f t="array" ref="AH17">SUMPRODUCT((C17:AF17="A")*($C$5:$AF$5&lt;&gt;"Fri")*($C$5:$AF$5&lt;&gt;"Sat")*($C$4:$AF$4=0))</f>
        <v>0</v>
      </c>
      <c r="AI17" s="3" cm="1">
        <f t="array" ref="AI17">SUMPRODUCT((C17:AF17="H")*($C$5:$AF$5&lt;&gt;"Fri")*($C$5:$AF$5&lt;&gt;"Sat")*($C$4:$AF$4=0))</f>
        <v>0</v>
      </c>
      <c r="AJ17" s="3" cm="1">
        <f t="array" ref="AJ17">SUMPRODUCT(($C$5:$AF$5&lt;&gt;"Fri")*($C$5:$AF$5&lt;&gt;"Sat")*($C$4:$AF$4=0))</f>
        <v>22</v>
      </c>
      <c r="AK17" s="4">
        <f t="shared" si="3"/>
        <v>0.13636363636363635</v>
      </c>
      <c r="AL17" s="4">
        <f t="shared" si="4"/>
        <v>0</v>
      </c>
      <c r="AM17" s="7"/>
    </row>
    <row r="18" spans="1:39">
      <c r="A18" s="5">
        <v>12</v>
      </c>
      <c r="B18" s="11" t="s">
        <v>58</v>
      </c>
      <c r="C18" s="9" t="s">
        <v>46</v>
      </c>
      <c r="D18" s="24" t="s">
        <v>46</v>
      </c>
      <c r="E18" s="24"/>
      <c r="F18" s="24"/>
      <c r="G18" s="24" t="s">
        <v>46</v>
      </c>
      <c r="H18" s="9"/>
      <c r="I18" s="15"/>
      <c r="J18" s="9"/>
      <c r="K18" s="9"/>
      <c r="L18" s="9"/>
      <c r="M18" s="9"/>
      <c r="N18" s="9"/>
      <c r="O18" s="3"/>
      <c r="P18" s="16"/>
      <c r="Q18" s="9"/>
      <c r="R18" s="9"/>
      <c r="S18" s="15"/>
      <c r="T18" s="3"/>
      <c r="U18" s="9"/>
      <c r="V18" s="3"/>
      <c r="W18" s="16"/>
      <c r="X18" s="9"/>
      <c r="Y18" s="9"/>
      <c r="Z18" s="3"/>
      <c r="AA18" s="3"/>
      <c r="AB18" s="3"/>
      <c r="AC18" s="3"/>
      <c r="AD18" s="16"/>
      <c r="AE18" s="3"/>
      <c r="AF18" s="3"/>
      <c r="AG18" s="16" cm="1">
        <f t="array" ref="AG18">SUMPRODUCT((C18:AF18="P")*($C$5:$AF$5&lt;&gt;"Fri")*($C$5:$AF$5&lt;&gt;"Sat")*($C$4:$AF$4=0))</f>
        <v>3</v>
      </c>
      <c r="AH18" s="16" cm="1">
        <f t="array" ref="AH18">SUMPRODUCT((C18:AF18="A")*($C$5:$AF$5&lt;&gt;"Fri")*($C$5:$AF$5&lt;&gt;"Sat")*($C$4:$AF$4=0))</f>
        <v>0</v>
      </c>
      <c r="AI18" s="16" cm="1">
        <f t="array" ref="AI18">SUMPRODUCT((C18:AF18="H")*($C$5:$AF$5&lt;&gt;"Fri")*($C$5:$AF$5&lt;&gt;"Sat")*($C$4:$AF$4=0))</f>
        <v>0</v>
      </c>
      <c r="AJ18" s="16" cm="1">
        <f t="array" ref="AJ18">SUMPRODUCT(($C$5:$AF$5&lt;&gt;"Fri")*($C$5:$AF$5&lt;&gt;"Sat")*($C$4:$AF$4=0))</f>
        <v>22</v>
      </c>
      <c r="AK18" s="17">
        <f t="shared" si="3"/>
        <v>0.13636363636363635</v>
      </c>
      <c r="AL18" s="17">
        <f t="shared" si="4"/>
        <v>0</v>
      </c>
      <c r="AM18" s="7"/>
    </row>
    <row r="19" spans="1:39">
      <c r="A19" s="21">
        <v>13</v>
      </c>
      <c r="B19" s="13" t="s">
        <v>59</v>
      </c>
      <c r="C19" s="9" t="s">
        <v>46</v>
      </c>
      <c r="D19" s="24"/>
      <c r="E19" s="24"/>
      <c r="F19" s="24"/>
      <c r="G19" s="24" t="s">
        <v>46</v>
      </c>
      <c r="H19" s="9"/>
      <c r="I19" s="3"/>
      <c r="J19" s="9"/>
      <c r="K19" s="9"/>
      <c r="L19" s="9"/>
      <c r="M19" s="9"/>
      <c r="N19" s="9"/>
      <c r="O19" s="3"/>
      <c r="P19" s="3"/>
      <c r="Q19" s="9"/>
      <c r="R19" s="9"/>
      <c r="S19" s="15"/>
      <c r="T19" s="3"/>
      <c r="U19" s="9"/>
      <c r="V19" s="3"/>
      <c r="W19" s="3"/>
      <c r="X19" s="9"/>
      <c r="Y19" s="9"/>
      <c r="Z19" s="3"/>
      <c r="AA19" s="3"/>
      <c r="AB19" s="3"/>
      <c r="AC19" s="3"/>
      <c r="AD19" s="3"/>
      <c r="AE19" s="3"/>
      <c r="AF19" s="3"/>
      <c r="AG19" s="16" cm="1">
        <f t="array" ref="AG19">SUMPRODUCT((C19:AF19="P")*($C$5:$AF$5&lt;&gt;"Fri")*($C$5:$AF$5&lt;&gt;"Sat")*($C$4:$AF$4=0))</f>
        <v>2</v>
      </c>
      <c r="AH19" s="16" cm="1">
        <f t="array" ref="AH19">SUMPRODUCT((C19:AF19="A")*($C$5:$AF$5&lt;&gt;"Fri")*($C$5:$AF$5&lt;&gt;"Sat")*($C$4:$AF$4=0))</f>
        <v>0</v>
      </c>
      <c r="AI19" s="16" cm="1">
        <f t="array" ref="AI19">SUMPRODUCT((C19:AF19="H")*($C$5:$AF$5&lt;&gt;"Fri")*($C$5:$AF$5&lt;&gt;"Sat")*($C$4:$AF$4=0))</f>
        <v>0</v>
      </c>
      <c r="AJ19" s="16" cm="1">
        <f t="array" ref="AJ19">SUMPRODUCT(($C$5:$AF$5&lt;&gt;"Fri")*($C$5:$AF$5&lt;&gt;"Sat")*($C$4:$AF$4=0))</f>
        <v>22</v>
      </c>
      <c r="AK19" s="17">
        <f t="shared" si="3"/>
        <v>9.0909090909090912E-2</v>
      </c>
      <c r="AL19" s="17">
        <f t="shared" si="4"/>
        <v>0</v>
      </c>
      <c r="AM19" s="18"/>
    </row>
    <row r="20" spans="1:39">
      <c r="A20" s="22">
        <v>14</v>
      </c>
      <c r="B20" s="13" t="s">
        <v>60</v>
      </c>
      <c r="C20" s="9" t="s">
        <v>46</v>
      </c>
      <c r="D20" s="24" t="s">
        <v>61</v>
      </c>
      <c r="E20" s="24"/>
      <c r="F20" s="24"/>
      <c r="G20" s="24" t="s">
        <v>46</v>
      </c>
      <c r="H20" s="9"/>
      <c r="I20" s="3"/>
      <c r="J20" s="9"/>
      <c r="K20" s="9"/>
      <c r="L20" s="9"/>
      <c r="M20" s="9"/>
      <c r="N20" s="9"/>
      <c r="O20" s="3"/>
      <c r="P20" s="3"/>
      <c r="Q20" s="9"/>
      <c r="R20" s="9"/>
      <c r="S20" s="15"/>
      <c r="T20" s="3"/>
      <c r="U20" s="9"/>
      <c r="V20" s="3"/>
      <c r="W20" s="3"/>
      <c r="X20" s="9"/>
      <c r="Y20" s="9"/>
      <c r="Z20" s="3"/>
      <c r="AA20" s="3"/>
      <c r="AB20" s="3"/>
      <c r="AC20" s="3"/>
      <c r="AD20" s="3"/>
      <c r="AE20" s="3"/>
      <c r="AF20" s="3"/>
      <c r="AG20" s="16" cm="1">
        <f t="array" ref="AG20">SUMPRODUCT((C20:AF20="P")*($C$5:$AF$5&lt;&gt;"Fri")*($C$5:$AF$5&lt;&gt;"Sat")*($C$4:$AF$4=0))</f>
        <v>2</v>
      </c>
      <c r="AH20" s="16" cm="1">
        <f t="array" ref="AH20">SUMPRODUCT((C20:AF20="A")*($C$5:$AF$5&lt;&gt;"Fri")*($C$5:$AF$5&lt;&gt;"Sat")*($C$4:$AF$4=0))</f>
        <v>0</v>
      </c>
      <c r="AI20" s="16" cm="1">
        <f t="array" ref="AI20">SUMPRODUCT((C20:AF20="H")*($C$5:$AF$5&lt;&gt;"Fri")*($C$5:$AF$5&lt;&gt;"Sat")*($C$4:$AF$4=0))</f>
        <v>0</v>
      </c>
      <c r="AJ20" s="16" cm="1">
        <f t="array" ref="AJ20">SUMPRODUCT(($C$5:$AF$5&lt;&gt;"Fri")*($C$5:$AF$5&lt;&gt;"Sat")*($C$4:$AF$4=0))</f>
        <v>22</v>
      </c>
      <c r="AK20" s="17">
        <f t="shared" si="3"/>
        <v>9.0909090909090912E-2</v>
      </c>
      <c r="AL20" s="17">
        <f t="shared" si="4"/>
        <v>0</v>
      </c>
      <c r="AM20" s="18"/>
    </row>
    <row r="21" spans="1:39" ht="14.45" customHeight="1">
      <c r="A21" s="22">
        <v>15</v>
      </c>
      <c r="B21" s="14" t="s">
        <v>62</v>
      </c>
      <c r="C21" s="9" t="s">
        <v>46</v>
      </c>
      <c r="D21" s="24" t="s">
        <v>46</v>
      </c>
      <c r="E21" s="24"/>
      <c r="F21" s="24"/>
      <c r="G21" s="24" t="s">
        <v>46</v>
      </c>
      <c r="H21" s="9"/>
      <c r="I21" s="3"/>
      <c r="J21" s="9"/>
      <c r="K21" s="9"/>
      <c r="L21" s="9"/>
      <c r="M21" s="9"/>
      <c r="N21" s="9"/>
      <c r="O21" s="3"/>
      <c r="P21" s="3"/>
      <c r="Q21" s="9"/>
      <c r="R21" s="9"/>
      <c r="S21" s="15"/>
      <c r="T21" s="3"/>
      <c r="U21" s="9"/>
      <c r="V21" s="3"/>
      <c r="W21" s="3"/>
      <c r="X21" s="9"/>
      <c r="Y21" s="9"/>
      <c r="Z21" s="3"/>
      <c r="AA21" s="3"/>
      <c r="AB21" s="3"/>
      <c r="AC21" s="3"/>
      <c r="AD21" s="3"/>
      <c r="AE21" s="3"/>
      <c r="AF21" s="3"/>
      <c r="AG21" s="16" cm="1">
        <f t="array" ref="AG21">SUMPRODUCT((C21:AF21="P")*($C$5:$AF$5&lt;&gt;"Fri")*($C$5:$AF$5&lt;&gt;"Sat")*($C$4:$AF$4=0))</f>
        <v>3</v>
      </c>
      <c r="AH21" s="16" cm="1">
        <f t="array" ref="AH21">SUMPRODUCT((C21:AF21="A")*($C$5:$AF$5&lt;&gt;"Fri")*($C$5:$AF$5&lt;&gt;"Sat")*($C$4:$AF$4=0))</f>
        <v>0</v>
      </c>
      <c r="AI21" s="16" cm="1">
        <f t="array" ref="AI21">SUMPRODUCT((C21:AF21="H")*($C$5:$AF$5&lt;&gt;"Fri")*($C$5:$AF$5&lt;&gt;"Sat")*($C$4:$AF$4=0))</f>
        <v>0</v>
      </c>
      <c r="AJ21" s="16" cm="1">
        <f t="array" ref="AJ21">SUMPRODUCT(($C$5:$AF$5&lt;&gt;"Fri")*($C$5:$AF$5&lt;&gt;"Sat")*($C$4:$AF$4=0))</f>
        <v>22</v>
      </c>
      <c r="AK21" s="17">
        <f t="shared" si="3"/>
        <v>0.13636363636363635</v>
      </c>
      <c r="AL21" s="17">
        <f t="shared" si="4"/>
        <v>0</v>
      </c>
      <c r="AM21" s="18"/>
    </row>
    <row r="22" spans="1:39" ht="14.45" customHeight="1">
      <c r="A22" s="22">
        <v>16</v>
      </c>
      <c r="B22" s="14" t="s">
        <v>63</v>
      </c>
      <c r="C22" s="9" t="s">
        <v>46</v>
      </c>
      <c r="D22" s="24" t="s">
        <v>46</v>
      </c>
      <c r="E22" s="24"/>
      <c r="F22" s="24"/>
      <c r="G22" s="24" t="s">
        <v>46</v>
      </c>
      <c r="H22" s="9"/>
      <c r="I22" s="3"/>
      <c r="J22" s="9"/>
      <c r="K22" s="9"/>
      <c r="L22" s="9"/>
      <c r="M22" s="9"/>
      <c r="N22" s="9"/>
      <c r="O22" s="3"/>
      <c r="P22" s="3"/>
      <c r="Q22" s="9"/>
      <c r="R22" s="9"/>
      <c r="S22" s="15"/>
      <c r="T22" s="3"/>
      <c r="U22" s="9"/>
      <c r="V22" s="3"/>
      <c r="W22" s="3"/>
      <c r="X22" s="9"/>
      <c r="Y22" s="9"/>
      <c r="Z22" s="3"/>
      <c r="AA22" s="3"/>
      <c r="AB22" s="3"/>
      <c r="AC22" s="3"/>
      <c r="AD22" s="3"/>
      <c r="AE22" s="3"/>
      <c r="AF22" s="3"/>
      <c r="AG22" s="16" cm="1">
        <f t="array" ref="AG22">SUMPRODUCT((C22:AF22="P")*($C$5:$AF$5&lt;&gt;"Fri")*($C$5:$AF$5&lt;&gt;"Sat")*($C$4:$AF$4=0))</f>
        <v>3</v>
      </c>
      <c r="AH22" s="16" cm="1">
        <f t="array" ref="AH22">SUMPRODUCT((C22:AF22="A")*($C$5:$AF$5&lt;&gt;"Fri")*($C$5:$AF$5&lt;&gt;"Sat")*($C$4:$AF$4=0))</f>
        <v>0</v>
      </c>
      <c r="AI22" s="16" cm="1">
        <f t="array" ref="AI22">SUMPRODUCT((C22:AF22="H")*($C$5:$AF$5&lt;&gt;"Fri")*($C$5:$AF$5&lt;&gt;"Sat")*($C$4:$AF$4=0))</f>
        <v>0</v>
      </c>
      <c r="AJ22" s="16" cm="1">
        <f t="array" ref="AJ22">SUMPRODUCT(($C$5:$AF$5&lt;&gt;"Fri")*($C$5:$AF$5&lt;&gt;"Sat")*($C$4:$AF$4=0))</f>
        <v>22</v>
      </c>
      <c r="AK22" s="17">
        <f t="shared" si="3"/>
        <v>0.13636363636363635</v>
      </c>
      <c r="AL22" s="17">
        <f t="shared" si="4"/>
        <v>0</v>
      </c>
      <c r="AM22" s="18"/>
    </row>
    <row r="23" spans="1:39" ht="14.45" customHeight="1">
      <c r="A23" s="22">
        <v>17</v>
      </c>
      <c r="B23" s="14" t="s">
        <v>64</v>
      </c>
      <c r="C23" s="9" t="s">
        <v>46</v>
      </c>
      <c r="D23" s="24" t="s">
        <v>46</v>
      </c>
      <c r="E23" s="24"/>
      <c r="F23" s="24"/>
      <c r="G23" s="24" t="s">
        <v>46</v>
      </c>
      <c r="H23" s="9"/>
      <c r="I23" s="3"/>
      <c r="J23" s="9"/>
      <c r="K23" s="9"/>
      <c r="L23" s="9"/>
      <c r="M23" s="9"/>
      <c r="N23" s="9"/>
      <c r="O23" s="3"/>
      <c r="P23" s="3"/>
      <c r="Q23" s="9"/>
      <c r="R23" s="9"/>
      <c r="S23" s="15"/>
      <c r="T23" s="3"/>
      <c r="U23" s="9"/>
      <c r="V23" s="3"/>
      <c r="W23" s="3"/>
      <c r="X23" s="9"/>
      <c r="Y23" s="9"/>
      <c r="Z23" s="3"/>
      <c r="AA23" s="3"/>
      <c r="AB23" s="3"/>
      <c r="AC23" s="3"/>
      <c r="AD23" s="3"/>
      <c r="AE23" s="3"/>
      <c r="AF23" s="3"/>
      <c r="AG23" s="16" cm="1">
        <f t="array" ref="AG23">SUMPRODUCT((C23:AF23="P")*($C$5:$AF$5&lt;&gt;"Fri")*($C$5:$AF$5&lt;&gt;"Sat")*($C$4:$AF$4=0))</f>
        <v>3</v>
      </c>
      <c r="AH23" s="16" cm="1">
        <f t="array" ref="AH23">SUMPRODUCT((C23:AF23="A")*($C$5:$AF$5&lt;&gt;"Fri")*($C$5:$AF$5&lt;&gt;"Sat")*($C$4:$AF$4=0))</f>
        <v>0</v>
      </c>
      <c r="AI23" s="16" cm="1">
        <f t="array" ref="AI23">SUMPRODUCT((C23:AF23="H")*($C$5:$AF$5&lt;&gt;"Fri")*($C$5:$AF$5&lt;&gt;"Sat")*($C$4:$AF$4=0))</f>
        <v>0</v>
      </c>
      <c r="AJ23" s="16" cm="1">
        <f t="array" ref="AJ23">SUMPRODUCT(($C$5:$AF$5&lt;&gt;"Fri")*($C$5:$AF$5&lt;&gt;"Sat")*($C$4:$AF$4=0))</f>
        <v>22</v>
      </c>
      <c r="AK23" s="17">
        <f t="shared" si="3"/>
        <v>0.13636363636363635</v>
      </c>
      <c r="AL23" s="17">
        <f t="shared" si="4"/>
        <v>0</v>
      </c>
      <c r="AM23" s="18"/>
    </row>
    <row r="24" spans="1:39" ht="14.45" customHeight="1">
      <c r="A24" s="22">
        <v>18</v>
      </c>
      <c r="B24" s="14" t="s">
        <v>65</v>
      </c>
      <c r="C24" s="9" t="s">
        <v>61</v>
      </c>
      <c r="D24" s="24" t="s">
        <v>46</v>
      </c>
      <c r="E24" s="24"/>
      <c r="F24" s="33"/>
      <c r="G24" s="33" t="s">
        <v>46</v>
      </c>
      <c r="H24" s="9"/>
      <c r="I24" s="3"/>
      <c r="J24" s="9"/>
      <c r="K24" s="34"/>
      <c r="L24" s="9"/>
      <c r="M24" s="34"/>
      <c r="N24" s="9"/>
      <c r="O24" s="3"/>
      <c r="P24" s="3"/>
      <c r="Q24" s="9"/>
      <c r="R24" s="9"/>
      <c r="S24" s="30"/>
      <c r="T24" s="31"/>
      <c r="U24" s="9"/>
      <c r="V24" s="3"/>
      <c r="W24" s="3"/>
      <c r="X24" s="9"/>
      <c r="Y24" s="9"/>
      <c r="Z24" s="3"/>
      <c r="AA24" s="3"/>
      <c r="AB24" s="3"/>
      <c r="AC24" s="3"/>
      <c r="AD24" s="3"/>
      <c r="AE24" s="3"/>
      <c r="AF24" s="33"/>
      <c r="AG24" s="16" cm="1">
        <f t="array" ref="AG24">SUMPRODUCT((C24:AF24="P")*($C$5:$AF$5&lt;&gt;"Fri")*($C$5:$AF$5&lt;&gt;"Sat")*($C$4:$AF$4=0))</f>
        <v>2</v>
      </c>
      <c r="AH24" s="16" cm="1">
        <f t="array" ref="AH24">SUMPRODUCT((C24:AF24="A")*($C$5:$AF$5&lt;&gt;"Fri")*($C$5:$AF$5&lt;&gt;"Sat")*($C$4:$AF$4=0))</f>
        <v>0</v>
      </c>
      <c r="AI24" s="16" cm="1">
        <f t="array" ref="AI24">SUMPRODUCT((C24:AF24="H")*($C$5:$AF$5&lt;&gt;"Fri")*($C$5:$AF$5&lt;&gt;"Sat")*($C$4:$AF$4=0))</f>
        <v>0</v>
      </c>
      <c r="AJ24" s="16" cm="1">
        <f t="array" ref="AJ24">SUMPRODUCT(($C$5:$AF$5&lt;&gt;"Fri")*($C$5:$AF$5&lt;&gt;"Sat")*($C$4:$AF$4=0))</f>
        <v>22</v>
      </c>
      <c r="AK24" s="17">
        <f t="shared" si="3"/>
        <v>9.0909090909090912E-2</v>
      </c>
      <c r="AL24" s="17">
        <f t="shared" si="4"/>
        <v>0</v>
      </c>
      <c r="AM24" s="18"/>
    </row>
    <row r="25" spans="1:39" ht="14.45" customHeight="1">
      <c r="A25" s="22">
        <v>19</v>
      </c>
      <c r="B25" s="14" t="s">
        <v>66</v>
      </c>
      <c r="C25" s="9" t="s">
        <v>46</v>
      </c>
      <c r="D25" s="32" t="s">
        <v>46</v>
      </c>
      <c r="E25" s="24"/>
      <c r="F25" s="24"/>
      <c r="G25" s="24" t="s">
        <v>46</v>
      </c>
      <c r="H25" s="9"/>
      <c r="I25" s="3"/>
      <c r="J25" s="9"/>
      <c r="K25" s="9"/>
      <c r="L25" s="9"/>
      <c r="M25" s="9"/>
      <c r="N25" s="9"/>
      <c r="O25" s="3"/>
      <c r="P25" s="3"/>
      <c r="Q25" s="34"/>
      <c r="R25" s="9"/>
      <c r="S25" s="9"/>
      <c r="T25" s="3"/>
      <c r="U25" s="9"/>
      <c r="V25" s="3"/>
      <c r="W25" s="3"/>
      <c r="X25" s="9"/>
      <c r="Y25" s="9"/>
      <c r="Z25" s="3"/>
      <c r="AA25" s="3"/>
      <c r="AB25" s="3"/>
      <c r="AC25" s="3"/>
      <c r="AD25" s="3"/>
      <c r="AE25" s="3"/>
      <c r="AF25" s="3"/>
      <c r="AG25" s="16" cm="1">
        <f t="array" ref="AG25">SUMPRODUCT((C25:AF25="P")*($C$5:$AF$5&lt;&gt;"Fri")*($C$5:$AF$5&lt;&gt;"Sat")*($C$4:$AF$4=0))</f>
        <v>3</v>
      </c>
      <c r="AH25" s="16" cm="1">
        <f t="array" ref="AH25">SUMPRODUCT((C25:AF25="A")*($C$5:$AF$5&lt;&gt;"Fri")*($C$5:$AF$5&lt;&gt;"Sat")*($C$4:$AF$4=0))</f>
        <v>0</v>
      </c>
      <c r="AI25" s="16" cm="1">
        <f t="array" ref="AI25">SUMPRODUCT((C25:AF25="H")*($C$5:$AF$5&lt;&gt;"Fri")*($C$5:$AF$5&lt;&gt;"Sat")*($C$4:$AF$4=0))</f>
        <v>0</v>
      </c>
      <c r="AJ25" s="16" cm="1">
        <f t="array" ref="AJ25">SUMPRODUCT(($C$5:$AF$5&lt;&gt;"Fri")*($C$5:$AF$5&lt;&gt;"Sat")*($C$4:$AF$4=0))</f>
        <v>22</v>
      </c>
      <c r="AK25" s="17">
        <f t="shared" si="3"/>
        <v>0.13636363636363635</v>
      </c>
      <c r="AL25" s="17">
        <f t="shared" si="4"/>
        <v>0</v>
      </c>
      <c r="AM25" s="18"/>
    </row>
    <row r="26" spans="1:39">
      <c r="A26" s="22">
        <v>20</v>
      </c>
      <c r="B26" s="14" t="s">
        <v>67</v>
      </c>
      <c r="C26" s="9" t="s">
        <v>46</v>
      </c>
      <c r="D26" s="24" t="s">
        <v>46</v>
      </c>
      <c r="E26" s="24"/>
      <c r="F26" s="24"/>
      <c r="G26" s="24" t="s">
        <v>46</v>
      </c>
      <c r="H26" s="9"/>
      <c r="I26" s="3"/>
      <c r="J26" s="9"/>
      <c r="K26" s="9"/>
      <c r="L26" s="9"/>
      <c r="M26" s="9"/>
      <c r="N26" s="9"/>
      <c r="O26" s="3"/>
      <c r="P26" s="3"/>
      <c r="Q26" s="9"/>
      <c r="R26" s="9"/>
      <c r="S26" s="9"/>
      <c r="T26" s="3"/>
      <c r="U26" s="9"/>
      <c r="V26" s="3"/>
      <c r="W26" s="3"/>
      <c r="X26" s="9"/>
      <c r="Y26" s="9"/>
      <c r="Z26" s="3"/>
      <c r="AA26" s="3"/>
      <c r="AB26" s="3"/>
      <c r="AC26" s="3"/>
      <c r="AD26" s="3"/>
      <c r="AE26" s="3"/>
      <c r="AF26" s="3"/>
      <c r="AG26" s="3" cm="1">
        <f t="array" ref="AG26">SUMPRODUCT((C26:AF26="P")*($C$5:$AF$5&lt;&gt;"Fri")*($C$5:$AF$5&lt;&gt;"Sat")*($C$4:$AF$4=0))</f>
        <v>3</v>
      </c>
      <c r="AH26" s="3" cm="1">
        <f t="array" ref="AH26">SUMPRODUCT((C26:AF26="A")*($C$5:$AF$5&lt;&gt;"Fri")*($C$5:$AF$5&lt;&gt;"Sat")*($C$4:$AF$4=0))</f>
        <v>0</v>
      </c>
      <c r="AI26" s="3" cm="1">
        <f t="array" ref="AI26">SUMPRODUCT((C26:AF26="H")*($C$5:$AF$5&lt;&gt;"Fri")*($C$5:$AF$5&lt;&gt;"Sat")*($C$4:$AF$4=0))</f>
        <v>0</v>
      </c>
      <c r="AJ26" s="3" cm="1">
        <f t="array" ref="AJ26">SUMPRODUCT(($C$5:$AF$5&lt;&gt;"Fri")*($C$5:$AF$5&lt;&gt;"Sat")*($C$4:$AF$4=0))</f>
        <v>22</v>
      </c>
      <c r="AK26" s="4">
        <f t="shared" si="3"/>
        <v>0.13636363636363635</v>
      </c>
      <c r="AL26" s="4">
        <f t="shared" si="4"/>
        <v>0</v>
      </c>
      <c r="AM26" s="18"/>
    </row>
    <row r="27" spans="1:39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8"/>
    </row>
    <row r="29" spans="1:39">
      <c r="B29" s="28"/>
    </row>
  </sheetData>
  <mergeCells count="17">
    <mergeCell ref="A1:L1"/>
    <mergeCell ref="M1:Q1"/>
    <mergeCell ref="R1:T1"/>
    <mergeCell ref="B2:B4"/>
    <mergeCell ref="F2:H2"/>
    <mergeCell ref="I2:J2"/>
    <mergeCell ref="N2:P2"/>
    <mergeCell ref="Q2:AL3"/>
    <mergeCell ref="C3:P3"/>
    <mergeCell ref="AK5:AK6"/>
    <mergeCell ref="AL5:AL6"/>
    <mergeCell ref="A5:A6"/>
    <mergeCell ref="B5:B6"/>
    <mergeCell ref="AG5:AG6"/>
    <mergeCell ref="AH5:AH6"/>
    <mergeCell ref="AI5:AI6"/>
    <mergeCell ref="AJ5:AJ6"/>
  </mergeCells>
  <conditionalFormatting sqref="C5:AF6">
    <cfRule type="expression" dxfId="94" priority="43">
      <formula>OR(C$5="Fri", C$5="Sat")</formula>
    </cfRule>
  </conditionalFormatting>
  <conditionalFormatting sqref="V7:W26 Z7:AF26 C7:T26">
    <cfRule type="expression" dxfId="93" priority="42">
      <formula>OR(C$5="Fri", C$5="Sat")</formula>
    </cfRule>
  </conditionalFormatting>
  <conditionalFormatting sqref="C5:AF6 V7:W26 Z7:AF26 C7:T26">
    <cfRule type="cellIs" dxfId="92" priority="41" operator="equal">
      <formula>"A"</formula>
    </cfRule>
  </conditionalFormatting>
  <conditionalFormatting sqref="V7:W26 Z7:AF26 C7:T26">
    <cfRule type="cellIs" dxfId="91" priority="40" operator="equal">
      <formula>"a"</formula>
    </cfRule>
  </conditionalFormatting>
  <conditionalFormatting sqref="V7:W26 Z7:AB26 C7:T26">
    <cfRule type="containsText" dxfId="90" priority="39" operator="containsText" text="L">
      <formula>NOT(ISERROR(SEARCH("L",C7)))</formula>
    </cfRule>
  </conditionalFormatting>
  <conditionalFormatting sqref="V7:W26 Z7:AB26 C7:T26">
    <cfRule type="containsText" dxfId="89" priority="38" operator="containsText" text="AP">
      <formula>NOT(ISERROR(SEARCH("AP",C7)))</formula>
    </cfRule>
  </conditionalFormatting>
  <conditionalFormatting sqref="V7:W26 Z7:AF26 C7:T26">
    <cfRule type="containsText" dxfId="88" priority="37" operator="containsText" text="SL">
      <formula>NOT(ISERROR(SEARCH("SL",C7)))</formula>
    </cfRule>
  </conditionalFormatting>
  <conditionalFormatting sqref="U7:U26">
    <cfRule type="expression" dxfId="87" priority="36">
      <formula>OR(U$5="Fri", U$5="Sat")</formula>
    </cfRule>
  </conditionalFormatting>
  <conditionalFormatting sqref="U7:U26">
    <cfRule type="cellIs" dxfId="86" priority="35" operator="equal">
      <formula>"A"</formula>
    </cfRule>
  </conditionalFormatting>
  <conditionalFormatting sqref="U7:U26">
    <cfRule type="cellIs" dxfId="85" priority="34" operator="equal">
      <formula>"a"</formula>
    </cfRule>
  </conditionalFormatting>
  <conditionalFormatting sqref="U7:U26">
    <cfRule type="containsText" dxfId="84" priority="33" operator="containsText" text="L">
      <formula>NOT(ISERROR(SEARCH("L",U7)))</formula>
    </cfRule>
  </conditionalFormatting>
  <conditionalFormatting sqref="U7:U26">
    <cfRule type="containsText" dxfId="83" priority="32" operator="containsText" text="AP">
      <formula>NOT(ISERROR(SEARCH("AP",U7)))</formula>
    </cfRule>
  </conditionalFormatting>
  <conditionalFormatting sqref="U7:U26">
    <cfRule type="containsText" dxfId="82" priority="31" operator="containsText" text="SL">
      <formula>NOT(ISERROR(SEARCH("SL",U7)))</formula>
    </cfRule>
  </conditionalFormatting>
  <conditionalFormatting sqref="X7:X26">
    <cfRule type="expression" dxfId="81" priority="30">
      <formula>OR(X$5="Fri", X$5="Sat")</formula>
    </cfRule>
  </conditionalFormatting>
  <conditionalFormatting sqref="X7:X26">
    <cfRule type="cellIs" dxfId="80" priority="29" operator="equal">
      <formula>"A"</formula>
    </cfRule>
  </conditionalFormatting>
  <conditionalFormatting sqref="X7:X26">
    <cfRule type="cellIs" dxfId="79" priority="28" operator="equal">
      <formula>"a"</formula>
    </cfRule>
  </conditionalFormatting>
  <conditionalFormatting sqref="X7:X26">
    <cfRule type="containsText" dxfId="78" priority="27" operator="containsText" text="L">
      <formula>NOT(ISERROR(SEARCH("L",X7)))</formula>
    </cfRule>
  </conditionalFormatting>
  <conditionalFormatting sqref="X7:X26">
    <cfRule type="containsText" dxfId="77" priority="26" operator="containsText" text="AP">
      <formula>NOT(ISERROR(SEARCH("AP",X7)))</formula>
    </cfRule>
  </conditionalFormatting>
  <conditionalFormatting sqref="X7:X26">
    <cfRule type="containsText" dxfId="76" priority="25" operator="containsText" text="SL">
      <formula>NOT(ISERROR(SEARCH("SL",X7)))</formula>
    </cfRule>
  </conditionalFormatting>
  <conditionalFormatting sqref="Y7:Y26">
    <cfRule type="expression" dxfId="75" priority="24">
      <formula>OR(Y$5="Fri", Y$5="Sat")</formula>
    </cfRule>
  </conditionalFormatting>
  <conditionalFormatting sqref="Y7:Y26">
    <cfRule type="cellIs" dxfId="74" priority="23" operator="equal">
      <formula>"A"</formula>
    </cfRule>
  </conditionalFormatting>
  <conditionalFormatting sqref="Y7:Y26">
    <cfRule type="cellIs" dxfId="73" priority="22" operator="equal">
      <formula>"a"</formula>
    </cfRule>
  </conditionalFormatting>
  <conditionalFormatting sqref="Y7:Y26">
    <cfRule type="containsText" dxfId="72" priority="21" operator="containsText" text="L">
      <formula>NOT(ISERROR(SEARCH("L",Y7)))</formula>
    </cfRule>
  </conditionalFormatting>
  <conditionalFormatting sqref="Y7:Y26">
    <cfRule type="containsText" dxfId="71" priority="20" operator="containsText" text="AP">
      <formula>NOT(ISERROR(SEARCH("AP",Y7)))</formula>
    </cfRule>
  </conditionalFormatting>
  <conditionalFormatting sqref="Y7:Y26">
    <cfRule type="containsText" dxfId="70" priority="19" operator="containsText" text="SL">
      <formula>NOT(ISERROR(SEARCH("SL",Y7)))</formula>
    </cfRule>
  </conditionalFormatting>
  <conditionalFormatting sqref="AF12">
    <cfRule type="containsText" dxfId="69" priority="18" operator="containsText" text="L">
      <formula>NOT(ISERROR(SEARCH("L",AF12)))</formula>
    </cfRule>
  </conditionalFormatting>
  <conditionalFormatting sqref="AF12">
    <cfRule type="containsText" dxfId="68" priority="17" operator="containsText" text="AP">
      <formula>NOT(ISERROR(SEARCH("AP",AF12)))</formula>
    </cfRule>
  </conditionalFormatting>
  <conditionalFormatting sqref="AF24">
    <cfRule type="containsText" dxfId="67" priority="16" operator="containsText" text="L">
      <formula>NOT(ISERROR(SEARCH("L",AF24)))</formula>
    </cfRule>
  </conditionalFormatting>
  <conditionalFormatting sqref="AF24">
    <cfRule type="containsText" dxfId="66" priority="15" operator="containsText" text="AP">
      <formula>NOT(ISERROR(SEARCH("AP",AF24)))</formula>
    </cfRule>
  </conditionalFormatting>
  <conditionalFormatting sqref="AF24">
    <cfRule type="containsText" dxfId="65" priority="14" operator="containsText" text="L">
      <formula>NOT(ISERROR(SEARCH("L",AF24)))</formula>
    </cfRule>
  </conditionalFormatting>
  <conditionalFormatting sqref="AF24">
    <cfRule type="containsText" dxfId="64" priority="13" operator="containsText" text="AP">
      <formula>NOT(ISERROR(SEARCH("AP",AF24)))</formula>
    </cfRule>
  </conditionalFormatting>
  <conditionalFormatting sqref="AF24">
    <cfRule type="containsText" dxfId="63" priority="12" operator="containsText" text="L">
      <formula>NOT(ISERROR(SEARCH("L",AF24)))</formula>
    </cfRule>
  </conditionalFormatting>
  <conditionalFormatting sqref="AF24">
    <cfRule type="containsText" dxfId="62" priority="11" operator="containsText" text="AP">
      <formula>NOT(ISERROR(SEARCH("AP",AF24)))</formula>
    </cfRule>
  </conditionalFormatting>
  <conditionalFormatting sqref="AF12">
    <cfRule type="containsText" dxfId="61" priority="10" operator="containsText" text="L">
      <formula>NOT(ISERROR(SEARCH("L",AF12)))</formula>
    </cfRule>
  </conditionalFormatting>
  <conditionalFormatting sqref="AF12">
    <cfRule type="containsText" dxfId="60" priority="9" operator="containsText" text="AP">
      <formula>NOT(ISERROR(SEARCH("AP",AF12)))</formula>
    </cfRule>
  </conditionalFormatting>
  <conditionalFormatting sqref="AF12">
    <cfRule type="containsText" dxfId="59" priority="8" operator="containsText" text="L">
      <formula>NOT(ISERROR(SEARCH("L",AF12)))</formula>
    </cfRule>
  </conditionalFormatting>
  <conditionalFormatting sqref="AF12">
    <cfRule type="containsText" dxfId="58" priority="7" operator="containsText" text="AP">
      <formula>NOT(ISERROR(SEARCH("AP",AF12)))</formula>
    </cfRule>
  </conditionalFormatting>
  <conditionalFormatting sqref="AF12">
    <cfRule type="containsText" dxfId="57" priority="6" operator="containsText" text="L">
      <formula>NOT(ISERROR(SEARCH("L",AF12)))</formula>
    </cfRule>
  </conditionalFormatting>
  <conditionalFormatting sqref="AF12">
    <cfRule type="containsText" dxfId="56" priority="5" operator="containsText" text="AP">
      <formula>NOT(ISERROR(SEARCH("AP",AF12)))</formula>
    </cfRule>
  </conditionalFormatting>
  <conditionalFormatting sqref="AF12">
    <cfRule type="containsText" dxfId="55" priority="4" operator="containsText" text="L">
      <formula>NOT(ISERROR(SEARCH("L",AF12)))</formula>
    </cfRule>
  </conditionalFormatting>
  <conditionalFormatting sqref="AF12">
    <cfRule type="containsText" dxfId="54" priority="3" operator="containsText" text="AP">
      <formula>NOT(ISERROR(SEARCH("AP",AF12)))</formula>
    </cfRule>
  </conditionalFormatting>
  <dataValidations count="3">
    <dataValidation type="custom" allowBlank="1" showInputMessage="1" showErrorMessage="1" sqref="X7:AC26 W7:W18 AF7:AF26 Q12:V26 H7:I18 J7:O26 P7:P18 T11:U11 U7:U10 Q10:S11 Q7:T9 V7:V11 AD7:AD18 AE7:AE23 C7:G26" xr:uid="{7D21117E-CEC7-4DA3-A28E-36CD5EAF1C46}">
      <formula1>C$6&lt;&gt;""</formula1>
    </dataValidation>
    <dataValidation type="list" allowBlank="1" showInputMessage="1" showErrorMessage="1" sqref="R1:T1" xr:uid="{D6797410-FECA-40A9-A0D5-402ADBC5BC50}">
      <formula1>"2024,2025,2026"</formula1>
    </dataValidation>
    <dataValidation type="list" allowBlank="1" showInputMessage="1" showErrorMessage="1" sqref="M1:Q1" xr:uid="{FB2338C9-45E8-40DD-8018-7CCC9CE9F7FE}">
      <formula1>Months</formula1>
    </dataValidation>
  </dataValidations>
  <pageMargins left="0.7" right="0.7" top="0.75" bottom="0.75" header="0.3" footer="0.3"/>
  <pageSetup fitToWidth="0" orientation="landscape"/>
  <colBreaks count="1" manualBreakCount="1">
    <brk id="16" max="1048575" man="1"/>
  </col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0EC8A-3C5B-4EA6-BF15-95F469056DE3}">
  <sheetPr codeName="Sheet5"/>
  <dimension ref="A1:AN29"/>
  <sheetViews>
    <sheetView topLeftCell="F3" zoomScale="90" zoomScaleNormal="90" workbookViewId="0">
      <selection activeCell="Z17" sqref="Z17"/>
    </sheetView>
  </sheetViews>
  <sheetFormatPr defaultRowHeight="15"/>
  <cols>
    <col min="1" max="1" width="4.7109375" customWidth="1"/>
    <col min="2" max="2" width="34.28515625" customWidth="1"/>
    <col min="3" max="3" width="3.85546875" customWidth="1"/>
    <col min="4" max="4" width="7.42578125" customWidth="1"/>
    <col min="5" max="5" width="6.28515625" bestFit="1" customWidth="1"/>
    <col min="6" max="6" width="9.7109375" customWidth="1"/>
    <col min="7" max="7" width="10" customWidth="1"/>
    <col min="8" max="9" width="3.85546875" customWidth="1"/>
    <col min="10" max="10" width="5.85546875" customWidth="1"/>
    <col min="11" max="11" width="9.42578125" customWidth="1"/>
    <col min="12" max="12" width="9.85546875" customWidth="1"/>
    <col min="13" max="13" width="7" customWidth="1"/>
    <col min="14" max="16" width="3.85546875" customWidth="1"/>
    <col min="17" max="17" width="9.5703125" customWidth="1"/>
    <col min="18" max="18" width="6.28515625" customWidth="1"/>
    <col min="19" max="19" width="5.5703125" customWidth="1"/>
    <col min="20" max="20" width="5.85546875" customWidth="1"/>
    <col min="21" max="21" width="5" customWidth="1"/>
    <col min="22" max="31" width="3.85546875" customWidth="1"/>
    <col min="32" max="32" width="9.7109375" bestFit="1" customWidth="1"/>
    <col min="33" max="33" width="10.140625" customWidth="1"/>
    <col min="34" max="39" width="7.85546875" customWidth="1"/>
    <col min="40" max="40" width="3.5703125" customWidth="1"/>
  </cols>
  <sheetData>
    <row r="1" spans="1:40" ht="58.5" customHeight="1">
      <c r="A1" s="42" t="s">
        <v>34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2" t="s">
        <v>14</v>
      </c>
      <c r="N1" s="43"/>
      <c r="O1" s="43"/>
      <c r="P1" s="43"/>
      <c r="Q1" s="43"/>
      <c r="R1" s="44">
        <v>46221</v>
      </c>
      <c r="S1" s="44"/>
      <c r="T1" s="44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7"/>
    </row>
    <row r="2" spans="1:40" ht="14.45">
      <c r="A2" s="25"/>
      <c r="B2" s="45"/>
      <c r="D2" s="26" t="s">
        <v>35</v>
      </c>
      <c r="F2" s="47">
        <f>DATEVALUE("1"&amp;M1)</f>
        <v>46082</v>
      </c>
      <c r="G2" s="47"/>
      <c r="H2" s="47"/>
      <c r="I2" s="45"/>
      <c r="J2" s="45"/>
      <c r="K2" t="s">
        <v>36</v>
      </c>
      <c r="N2" s="47">
        <f>EOMONTH(F2,0)</f>
        <v>46112</v>
      </c>
      <c r="O2" s="47"/>
      <c r="P2" s="47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7"/>
    </row>
    <row r="3" spans="1:40" ht="14.45">
      <c r="A3" s="2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7"/>
    </row>
    <row r="4" spans="1:40" ht="14.45">
      <c r="A4" s="25"/>
      <c r="B4" s="46"/>
      <c r="C4">
        <f t="shared" ref="C4:AG4" si="0">IFERROR(IF(C6="",1,MATCH(C6,Holidayss,0)),0)</f>
        <v>0</v>
      </c>
      <c r="D4">
        <f t="shared" si="0"/>
        <v>0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  <c r="AN4" s="7"/>
    </row>
    <row r="5" spans="1:40" ht="14.45" customHeight="1">
      <c r="A5" s="38" t="s">
        <v>37</v>
      </c>
      <c r="B5" s="40" t="s">
        <v>38</v>
      </c>
      <c r="C5" s="1" t="str">
        <f>TEXT(C6,"ddd")</f>
        <v>Sun</v>
      </c>
      <c r="D5" s="1" t="str">
        <f t="shared" ref="D5:AG5" si="1">TEXT(D6,"ddd")</f>
        <v>Mon</v>
      </c>
      <c r="E5" s="1" t="str">
        <f t="shared" si="1"/>
        <v>Tue</v>
      </c>
      <c r="F5" s="1" t="str">
        <f t="shared" si="1"/>
        <v>Wed</v>
      </c>
      <c r="G5" s="1" t="str">
        <f t="shared" si="1"/>
        <v>Thu</v>
      </c>
      <c r="H5" s="1" t="str">
        <f t="shared" si="1"/>
        <v>Fri</v>
      </c>
      <c r="I5" s="1" t="str">
        <f t="shared" si="1"/>
        <v>Sat</v>
      </c>
      <c r="J5" s="1" t="str">
        <f t="shared" si="1"/>
        <v>Sun</v>
      </c>
      <c r="K5" s="1" t="str">
        <f t="shared" si="1"/>
        <v>Mon</v>
      </c>
      <c r="L5" s="1" t="str">
        <f t="shared" si="1"/>
        <v>Tue</v>
      </c>
      <c r="M5" s="1" t="str">
        <f t="shared" si="1"/>
        <v>Wed</v>
      </c>
      <c r="N5" s="1" t="str">
        <f t="shared" si="1"/>
        <v>Thu</v>
      </c>
      <c r="O5" s="1" t="str">
        <f t="shared" si="1"/>
        <v>Fri</v>
      </c>
      <c r="P5" s="1" t="str">
        <f t="shared" si="1"/>
        <v>Sat</v>
      </c>
      <c r="Q5" s="1" t="str">
        <f t="shared" si="1"/>
        <v>Sun</v>
      </c>
      <c r="R5" s="1" t="str">
        <f t="shared" si="1"/>
        <v>Mon</v>
      </c>
      <c r="S5" s="1" t="str">
        <f t="shared" si="1"/>
        <v>Tue</v>
      </c>
      <c r="T5" s="1" t="str">
        <f t="shared" si="1"/>
        <v>Wed</v>
      </c>
      <c r="U5" s="1" t="str">
        <f t="shared" si="1"/>
        <v>Thu</v>
      </c>
      <c r="V5" s="1" t="str">
        <f t="shared" si="1"/>
        <v>Fri</v>
      </c>
      <c r="W5" s="1" t="str">
        <f t="shared" si="1"/>
        <v>Sat</v>
      </c>
      <c r="X5" s="1" t="str">
        <f t="shared" si="1"/>
        <v>Sun</v>
      </c>
      <c r="Y5" s="1" t="str">
        <f t="shared" si="1"/>
        <v>Mon</v>
      </c>
      <c r="Z5" s="1" t="str">
        <f t="shared" si="1"/>
        <v>Tue</v>
      </c>
      <c r="AA5" s="1" t="str">
        <f t="shared" si="1"/>
        <v>Wed</v>
      </c>
      <c r="AB5" s="1" t="str">
        <f t="shared" si="1"/>
        <v>Thu</v>
      </c>
      <c r="AC5" s="1" t="str">
        <f t="shared" si="1"/>
        <v>Fri</v>
      </c>
      <c r="AD5" s="1" t="str">
        <f t="shared" si="1"/>
        <v>Sat</v>
      </c>
      <c r="AE5" s="1" t="str">
        <f t="shared" si="1"/>
        <v>Sun</v>
      </c>
      <c r="AF5" s="1" t="str">
        <f t="shared" si="1"/>
        <v>Mon</v>
      </c>
      <c r="AG5" s="1" t="str">
        <f t="shared" si="1"/>
        <v>Tue</v>
      </c>
      <c r="AH5" s="37" t="s">
        <v>39</v>
      </c>
      <c r="AI5" s="37" t="s">
        <v>40</v>
      </c>
      <c r="AJ5" s="37" t="s">
        <v>41</v>
      </c>
      <c r="AK5" s="37" t="s">
        <v>42</v>
      </c>
      <c r="AL5" s="37" t="s">
        <v>43</v>
      </c>
      <c r="AM5" s="37" t="s">
        <v>44</v>
      </c>
      <c r="AN5" s="7"/>
    </row>
    <row r="6" spans="1:40" ht="14.45" customHeight="1">
      <c r="A6" s="39"/>
      <c r="B6" s="41"/>
      <c r="C6" s="2">
        <f>F2</f>
        <v>46082</v>
      </c>
      <c r="D6" s="2">
        <f t="shared" ref="D6:AG6" si="2">IF(C6&lt;$N$2,C6+1,"")</f>
        <v>46083</v>
      </c>
      <c r="E6" s="2">
        <f t="shared" si="2"/>
        <v>46084</v>
      </c>
      <c r="F6" s="2">
        <f t="shared" si="2"/>
        <v>46085</v>
      </c>
      <c r="G6" s="2">
        <f t="shared" si="2"/>
        <v>46086</v>
      </c>
      <c r="H6" s="2">
        <f t="shared" si="2"/>
        <v>46087</v>
      </c>
      <c r="I6" s="2">
        <f t="shared" si="2"/>
        <v>46088</v>
      </c>
      <c r="J6" s="2">
        <f t="shared" si="2"/>
        <v>46089</v>
      </c>
      <c r="K6" s="2">
        <f t="shared" si="2"/>
        <v>46090</v>
      </c>
      <c r="L6" s="2">
        <f t="shared" si="2"/>
        <v>46091</v>
      </c>
      <c r="M6" s="2">
        <f t="shared" si="2"/>
        <v>46092</v>
      </c>
      <c r="N6" s="2">
        <f t="shared" si="2"/>
        <v>46093</v>
      </c>
      <c r="O6" s="2">
        <f t="shared" si="2"/>
        <v>46094</v>
      </c>
      <c r="P6" s="2">
        <f t="shared" si="2"/>
        <v>46095</v>
      </c>
      <c r="Q6" s="2">
        <f t="shared" si="2"/>
        <v>46096</v>
      </c>
      <c r="R6" s="2">
        <f t="shared" si="2"/>
        <v>46097</v>
      </c>
      <c r="S6" s="2">
        <f t="shared" si="2"/>
        <v>46098</v>
      </c>
      <c r="T6" s="2">
        <f t="shared" si="2"/>
        <v>46099</v>
      </c>
      <c r="U6" s="2">
        <f t="shared" si="2"/>
        <v>46100</v>
      </c>
      <c r="V6" s="2">
        <f t="shared" si="2"/>
        <v>46101</v>
      </c>
      <c r="W6" s="2">
        <f t="shared" si="2"/>
        <v>46102</v>
      </c>
      <c r="X6" s="2">
        <f t="shared" si="2"/>
        <v>46103</v>
      </c>
      <c r="Y6" s="2">
        <f t="shared" si="2"/>
        <v>46104</v>
      </c>
      <c r="Z6" s="2">
        <f t="shared" si="2"/>
        <v>46105</v>
      </c>
      <c r="AA6" s="2">
        <f t="shared" si="2"/>
        <v>46106</v>
      </c>
      <c r="AB6" s="2">
        <f t="shared" si="2"/>
        <v>46107</v>
      </c>
      <c r="AC6" s="2">
        <f t="shared" si="2"/>
        <v>46108</v>
      </c>
      <c r="AD6" s="2">
        <f t="shared" si="2"/>
        <v>46109</v>
      </c>
      <c r="AE6" s="2">
        <f t="shared" si="2"/>
        <v>46110</v>
      </c>
      <c r="AF6" s="2">
        <f t="shared" si="2"/>
        <v>46111</v>
      </c>
      <c r="AG6" s="2">
        <f t="shared" si="2"/>
        <v>46112</v>
      </c>
      <c r="AH6" s="37"/>
      <c r="AI6" s="37"/>
      <c r="AJ6" s="37"/>
      <c r="AK6" s="37"/>
      <c r="AL6" s="37"/>
      <c r="AM6" s="37"/>
      <c r="AN6" s="7"/>
    </row>
    <row r="7" spans="1:40" ht="14.45">
      <c r="A7" s="5">
        <v>1</v>
      </c>
      <c r="B7" s="10" t="s">
        <v>45</v>
      </c>
      <c r="C7" s="9" t="s">
        <v>46</v>
      </c>
      <c r="D7" s="24" t="s">
        <v>46</v>
      </c>
      <c r="E7" s="24" t="s">
        <v>46</v>
      </c>
      <c r="F7" s="24" t="s">
        <v>46</v>
      </c>
      <c r="G7" s="24" t="s">
        <v>46</v>
      </c>
      <c r="H7" s="19"/>
      <c r="I7" s="9"/>
      <c r="J7" s="9" t="s">
        <v>46</v>
      </c>
      <c r="K7" s="9" t="s">
        <v>46</v>
      </c>
      <c r="L7" s="9" t="s">
        <v>46</v>
      </c>
      <c r="M7" s="9" t="s">
        <v>46</v>
      </c>
      <c r="N7" s="9" t="s">
        <v>46</v>
      </c>
      <c r="O7" s="3"/>
      <c r="P7" s="3"/>
      <c r="Q7" s="9" t="s">
        <v>46</v>
      </c>
      <c r="R7" s="9" t="s">
        <v>46</v>
      </c>
      <c r="S7" s="9" t="s">
        <v>46</v>
      </c>
      <c r="T7" s="3" t="s">
        <v>46</v>
      </c>
      <c r="U7" s="9" t="s">
        <v>68</v>
      </c>
      <c r="V7" s="3"/>
      <c r="W7" s="3"/>
      <c r="X7" s="9" t="s">
        <v>68</v>
      </c>
      <c r="Y7" s="9" t="s">
        <v>68</v>
      </c>
      <c r="Z7" s="3" t="s">
        <v>46</v>
      </c>
      <c r="AA7" s="3" t="s">
        <v>46</v>
      </c>
      <c r="AB7" s="3" t="s">
        <v>46</v>
      </c>
      <c r="AC7" s="3" t="s">
        <v>46</v>
      </c>
      <c r="AD7" s="3"/>
      <c r="AE7" s="3" t="s">
        <v>46</v>
      </c>
      <c r="AF7" s="3" t="s">
        <v>46</v>
      </c>
      <c r="AG7" s="3" t="s">
        <v>46</v>
      </c>
      <c r="AH7" s="3" cm="1">
        <f t="array" ref="AH7">SUMPRODUCT((C7:AG7="P")*($C$5:$AG$5&lt;&gt;"Fri")*($C$5:$AG$5&lt;&gt;"Sat")*($C$4:$AG$4=0))</f>
        <v>20</v>
      </c>
      <c r="AI7" s="3" cm="1">
        <f t="array" ref="AI7">SUMPRODUCT((C7:AG7="A")*($C$5:$AG$5&lt;&gt;"Fri")*($C$5:$AG$5&lt;&gt;"Sat")*($C$4:$AG$4=0))</f>
        <v>0</v>
      </c>
      <c r="AJ7" s="3" cm="1">
        <f t="array" ref="AJ7">SUMPRODUCT((C7:AG7="H")*($C$5:$AG$5&lt;&gt;"Fri")*($C$5:$AG$5&lt;&gt;"Sat")*($C$4:$AG$4=0))</f>
        <v>0</v>
      </c>
      <c r="AK7" s="3" cm="1">
        <f t="array" ref="AK7">SUMPRODUCT(($C$5:$AG$5&lt;&gt;"Fri")*($C$5:$AG$5&lt;&gt;"Sat")*($C$4:$AG$4=0))</f>
        <v>23</v>
      </c>
      <c r="AL7" s="4">
        <f>(AH7+AJ7*0.5)/AK7</f>
        <v>0.86956521739130432</v>
      </c>
      <c r="AM7" s="4">
        <f>(AI7/AK7)</f>
        <v>0</v>
      </c>
      <c r="AN7" s="7"/>
    </row>
    <row r="8" spans="1:40" ht="14.45" customHeight="1">
      <c r="A8" s="5">
        <v>2</v>
      </c>
      <c r="B8" s="11" t="s">
        <v>47</v>
      </c>
      <c r="C8" s="9" t="s">
        <v>46</v>
      </c>
      <c r="D8" s="24" t="s">
        <v>46</v>
      </c>
      <c r="E8" s="24" t="s">
        <v>46</v>
      </c>
      <c r="F8" s="24" t="s">
        <v>46</v>
      </c>
      <c r="G8" s="24" t="s">
        <v>46</v>
      </c>
      <c r="H8" s="19"/>
      <c r="I8" s="9"/>
      <c r="J8" s="9" t="s">
        <v>46</v>
      </c>
      <c r="K8" s="9" t="s">
        <v>46</v>
      </c>
      <c r="L8" s="9" t="s">
        <v>46</v>
      </c>
      <c r="M8" s="9" t="s">
        <v>46</v>
      </c>
      <c r="N8" s="9" t="s">
        <v>46</v>
      </c>
      <c r="O8" s="3"/>
      <c r="P8" s="3"/>
      <c r="Q8" s="9" t="s">
        <v>46</v>
      </c>
      <c r="R8" s="9" t="s">
        <v>46</v>
      </c>
      <c r="S8" s="9" t="s">
        <v>69</v>
      </c>
      <c r="T8" s="3" t="s">
        <v>46</v>
      </c>
      <c r="U8" s="9" t="s">
        <v>68</v>
      </c>
      <c r="V8" s="3"/>
      <c r="W8" s="3"/>
      <c r="X8" s="9" t="s">
        <v>68</v>
      </c>
      <c r="Y8" s="9" t="s">
        <v>68</v>
      </c>
      <c r="Z8" s="3" t="s">
        <v>46</v>
      </c>
      <c r="AA8" s="3" t="s">
        <v>46</v>
      </c>
      <c r="AB8" s="3" t="s">
        <v>46</v>
      </c>
      <c r="AC8" s="3" t="s">
        <v>46</v>
      </c>
      <c r="AD8" s="3"/>
      <c r="AE8" s="3" t="s">
        <v>46</v>
      </c>
      <c r="AF8" s="3" t="s">
        <v>46</v>
      </c>
      <c r="AG8" s="3" t="s">
        <v>46</v>
      </c>
      <c r="AH8" s="3" cm="1">
        <f t="array" ref="AH8">SUMPRODUCT((C8:AG8="P")*($C$5:$AG$5&lt;&gt;"Fri")*($C$5:$AG$5&lt;&gt;"Sat")*($C$4:$AG$4=0))</f>
        <v>19</v>
      </c>
      <c r="AI8" s="3" cm="1">
        <f t="array" ref="AI8">SUMPRODUCT((C8:AG8="A")*($C$5:$AG$5&lt;&gt;"Fri")*($C$5:$AG$5&lt;&gt;"Sat")*($C$4:$AG$4=0))</f>
        <v>1</v>
      </c>
      <c r="AJ8" s="3" cm="1">
        <f t="array" ref="AJ8">SUMPRODUCT((C8:AG8="H")*($C$5:$AG$5&lt;&gt;"Fri")*($C$5:$AG$5&lt;&gt;"Sat")*($C$4:$AG$4=0))</f>
        <v>0</v>
      </c>
      <c r="AK8" s="3" cm="1">
        <f t="array" ref="AK8">SUMPRODUCT(($C$5:$AG$5&lt;&gt;"Fri")*($C$5:$AG$5&lt;&gt;"Sat")*($C$4:$AG$4=0))</f>
        <v>23</v>
      </c>
      <c r="AL8" s="4">
        <f t="shared" ref="AL8:AL26" si="3">(AH8+AJ8*0.5)/AK8</f>
        <v>0.82608695652173914</v>
      </c>
      <c r="AM8" s="4">
        <f t="shared" ref="AM8:AM26" si="4">(AI8/AK8)</f>
        <v>4.3478260869565216E-2</v>
      </c>
      <c r="AN8" s="7"/>
    </row>
    <row r="9" spans="1:40" ht="14.45">
      <c r="A9" s="5">
        <v>3</v>
      </c>
      <c r="B9" s="10" t="s">
        <v>48</v>
      </c>
      <c r="C9" s="9" t="s">
        <v>46</v>
      </c>
      <c r="D9" s="24" t="s">
        <v>46</v>
      </c>
      <c r="E9" s="24" t="s">
        <v>46</v>
      </c>
      <c r="F9" s="24" t="s">
        <v>61</v>
      </c>
      <c r="G9" s="24" t="s">
        <v>46</v>
      </c>
      <c r="H9" s="19"/>
      <c r="I9" s="9"/>
      <c r="J9" s="9" t="s">
        <v>46</v>
      </c>
      <c r="K9" s="9" t="s">
        <v>46</v>
      </c>
      <c r="L9" s="9" t="s">
        <v>46</v>
      </c>
      <c r="M9" s="9" t="s">
        <v>70</v>
      </c>
      <c r="N9" s="9" t="s">
        <v>46</v>
      </c>
      <c r="O9" s="3"/>
      <c r="P9" s="3"/>
      <c r="Q9" s="9" t="s">
        <v>46</v>
      </c>
      <c r="R9" s="9" t="s">
        <v>46</v>
      </c>
      <c r="S9" s="9" t="s">
        <v>46</v>
      </c>
      <c r="T9" s="3" t="s">
        <v>46</v>
      </c>
      <c r="U9" s="9" t="s">
        <v>68</v>
      </c>
      <c r="V9" s="3"/>
      <c r="W9" s="3"/>
      <c r="X9" s="9" t="s">
        <v>68</v>
      </c>
      <c r="Y9" s="9" t="s">
        <v>68</v>
      </c>
      <c r="Z9" s="3" t="s">
        <v>46</v>
      </c>
      <c r="AA9" s="3" t="s">
        <v>46</v>
      </c>
      <c r="AB9" s="3" t="s">
        <v>46</v>
      </c>
      <c r="AC9" s="3" t="s">
        <v>46</v>
      </c>
      <c r="AD9" s="3"/>
      <c r="AE9" s="3" t="s">
        <v>46</v>
      </c>
      <c r="AF9" s="3" t="s">
        <v>46</v>
      </c>
      <c r="AG9" s="3" t="s">
        <v>46</v>
      </c>
      <c r="AH9" s="3" cm="1">
        <f t="array" ref="AH9">SUMPRODUCT((C9:AG9="P")*($C$5:$AG$5&lt;&gt;"Fri")*($C$5:$AG$5&lt;&gt;"Sat")*($C$4:$AG$4=0))</f>
        <v>18</v>
      </c>
      <c r="AI9" s="3" cm="1">
        <f t="array" ref="AI9">SUMPRODUCT((C9:AG9="A")*($C$5:$AG$5&lt;&gt;"Fri")*($C$5:$AG$5&lt;&gt;"Sat")*($C$4:$AG$4=0))</f>
        <v>0</v>
      </c>
      <c r="AJ9" s="3" cm="1">
        <f t="array" ref="AJ9">SUMPRODUCT((C9:AG9="H")*($C$5:$AG$5&lt;&gt;"Fri")*($C$5:$AG$5&lt;&gt;"Sat")*($C$4:$AG$4=0))</f>
        <v>0</v>
      </c>
      <c r="AK9" s="3" cm="1">
        <f t="array" ref="AK9">SUMPRODUCT(($C$5:$AG$5&lt;&gt;"Fri")*($C$5:$AG$5&lt;&gt;"Sat")*($C$4:$AG$4=0))</f>
        <v>23</v>
      </c>
      <c r="AL9" s="4">
        <f t="shared" si="3"/>
        <v>0.78260869565217395</v>
      </c>
      <c r="AM9" s="4">
        <f t="shared" si="4"/>
        <v>0</v>
      </c>
      <c r="AN9" s="7"/>
    </row>
    <row r="10" spans="1:40" ht="14.45">
      <c r="A10" s="5">
        <v>4</v>
      </c>
      <c r="B10" s="10" t="s">
        <v>49</v>
      </c>
      <c r="C10" s="9" t="s">
        <v>46</v>
      </c>
      <c r="D10" s="24" t="s">
        <v>46</v>
      </c>
      <c r="E10" s="24" t="s">
        <v>46</v>
      </c>
      <c r="F10" s="24" t="s">
        <v>46</v>
      </c>
      <c r="G10" s="24" t="s">
        <v>46</v>
      </c>
      <c r="H10" s="19"/>
      <c r="I10" s="9"/>
      <c r="J10" s="9" t="s">
        <v>61</v>
      </c>
      <c r="K10" s="9" t="s">
        <v>46</v>
      </c>
      <c r="L10" s="9" t="s">
        <v>46</v>
      </c>
      <c r="M10" s="9" t="s">
        <v>46</v>
      </c>
      <c r="N10" s="9" t="s">
        <v>46</v>
      </c>
      <c r="O10" s="3"/>
      <c r="P10" s="3"/>
      <c r="Q10" s="9" t="s">
        <v>46</v>
      </c>
      <c r="R10" s="9" t="s">
        <v>70</v>
      </c>
      <c r="S10" s="9" t="s">
        <v>61</v>
      </c>
      <c r="T10" t="s">
        <v>46</v>
      </c>
      <c r="U10" s="9" t="s">
        <v>68</v>
      </c>
      <c r="V10" s="3"/>
      <c r="W10" s="3"/>
      <c r="X10" s="9" t="s">
        <v>68</v>
      </c>
      <c r="Y10" s="9" t="s">
        <v>68</v>
      </c>
      <c r="Z10" s="3" t="s">
        <v>46</v>
      </c>
      <c r="AA10" s="3" t="s">
        <v>46</v>
      </c>
      <c r="AB10" s="3" t="s">
        <v>71</v>
      </c>
      <c r="AC10" s="3" t="s">
        <v>46</v>
      </c>
      <c r="AD10" s="3"/>
      <c r="AE10" s="3" t="s">
        <v>46</v>
      </c>
      <c r="AF10" s="3" t="s">
        <v>46</v>
      </c>
      <c r="AG10" s="3" t="s">
        <v>46</v>
      </c>
      <c r="AH10" s="3" cm="1">
        <f t="array" ref="AH10">SUMPRODUCT((C10:AG10="P")*($C$5:$AG$5&lt;&gt;"Fri")*($C$5:$AG$5&lt;&gt;"Sat")*($C$4:$AG$4=0))</f>
        <v>16</v>
      </c>
      <c r="AI10" s="3" cm="1">
        <f t="array" ref="AI10">SUMPRODUCT((C10:AG10="A")*($C$5:$AG$5&lt;&gt;"Fri")*($C$5:$AG$5&lt;&gt;"Sat")*($C$4:$AG$4=0))</f>
        <v>0</v>
      </c>
      <c r="AJ10" s="3" cm="1">
        <f t="array" ref="AJ10">SUMPRODUCT((C10:AG10="H")*($C$5:$AG$5&lt;&gt;"Fri")*($C$5:$AG$5&lt;&gt;"Sat")*($C$4:$AG$4=0))</f>
        <v>0</v>
      </c>
      <c r="AK10" s="3" cm="1">
        <f t="array" ref="AK10">SUMPRODUCT(($C$5:$AG$5&lt;&gt;"Fri")*($C$5:$AG$5&lt;&gt;"Sat")*($C$4:$AG$4=0))</f>
        <v>23</v>
      </c>
      <c r="AL10" s="4">
        <f t="shared" si="3"/>
        <v>0.69565217391304346</v>
      </c>
      <c r="AM10" s="4">
        <f t="shared" si="4"/>
        <v>0</v>
      </c>
      <c r="AN10" s="7"/>
    </row>
    <row r="11" spans="1:40">
      <c r="A11" s="5">
        <v>5</v>
      </c>
      <c r="B11" s="10" t="s">
        <v>50</v>
      </c>
      <c r="C11" s="9" t="s">
        <v>46</v>
      </c>
      <c r="D11" s="24" t="s">
        <v>46</v>
      </c>
      <c r="E11" s="24" t="s">
        <v>46</v>
      </c>
      <c r="F11" s="24" t="s">
        <v>46</v>
      </c>
      <c r="G11" s="24" t="s">
        <v>46</v>
      </c>
      <c r="H11" s="19"/>
      <c r="I11" s="9"/>
      <c r="J11" s="9" t="s">
        <v>46</v>
      </c>
      <c r="K11" s="9" t="s">
        <v>46</v>
      </c>
      <c r="L11" s="9" t="s">
        <v>46</v>
      </c>
      <c r="M11" s="9" t="s">
        <v>46</v>
      </c>
      <c r="N11" s="9" t="s">
        <v>46</v>
      </c>
      <c r="O11" s="3"/>
      <c r="P11" s="3"/>
      <c r="Q11" s="34" t="s">
        <v>72</v>
      </c>
      <c r="R11" s="9" t="s">
        <v>46</v>
      </c>
      <c r="S11" s="9" t="s">
        <v>46</v>
      </c>
      <c r="T11" s="3" t="s">
        <v>46</v>
      </c>
      <c r="U11" s="9" t="s">
        <v>68</v>
      </c>
      <c r="V11" s="3"/>
      <c r="W11" s="3"/>
      <c r="X11" s="9" t="s">
        <v>68</v>
      </c>
      <c r="Y11" s="9" t="s">
        <v>68</v>
      </c>
      <c r="Z11" s="3" t="s">
        <v>46</v>
      </c>
      <c r="AA11" s="3" t="s">
        <v>46</v>
      </c>
      <c r="AB11" s="3" t="s">
        <v>46</v>
      </c>
      <c r="AC11" s="3" t="s">
        <v>46</v>
      </c>
      <c r="AD11" s="3"/>
      <c r="AE11" s="3" t="s">
        <v>46</v>
      </c>
      <c r="AF11" s="3" t="s">
        <v>46</v>
      </c>
      <c r="AG11" s="3" t="s">
        <v>46</v>
      </c>
      <c r="AH11" s="3" cm="1">
        <f t="array" ref="AH11">SUMPRODUCT((C11:AG11="P")*($C$5:$AG$5&lt;&gt;"Fri")*($C$5:$AG$5&lt;&gt;"Sat")*($C$4:$AG$4=0))</f>
        <v>19</v>
      </c>
      <c r="AI11" s="3" cm="1">
        <f t="array" ref="AI11">SUMPRODUCT((C11:AG11="A")*($C$5:$AG$5&lt;&gt;"Fri")*($C$5:$AG$5&lt;&gt;"Sat")*($C$4:$AG$4=0))</f>
        <v>0</v>
      </c>
      <c r="AJ11" s="3" cm="1">
        <f t="array" ref="AJ11">SUMPRODUCT((C11:AG11="H")*($C$5:$AG$5&lt;&gt;"Fri")*($C$5:$AG$5&lt;&gt;"Sat")*($C$4:$AG$4=0))</f>
        <v>0</v>
      </c>
      <c r="AK11" s="3" cm="1">
        <f t="array" ref="AK11">SUMPRODUCT(($C$5:$AG$5&lt;&gt;"Fri")*($C$5:$AG$5&lt;&gt;"Sat")*($C$4:$AG$4=0))</f>
        <v>23</v>
      </c>
      <c r="AL11" s="4">
        <f t="shared" si="3"/>
        <v>0.82608695652173914</v>
      </c>
      <c r="AM11" s="4">
        <f t="shared" si="4"/>
        <v>0</v>
      </c>
      <c r="AN11" s="7"/>
    </row>
    <row r="12" spans="1:40">
      <c r="A12" s="5">
        <v>6</v>
      </c>
      <c r="B12" s="10" t="s">
        <v>51</v>
      </c>
      <c r="C12" s="9" t="s">
        <v>46</v>
      </c>
      <c r="D12" s="24" t="s">
        <v>46</v>
      </c>
      <c r="E12" s="24" t="s">
        <v>46</v>
      </c>
      <c r="F12" s="24" t="s">
        <v>46</v>
      </c>
      <c r="G12" s="24" t="s">
        <v>46</v>
      </c>
      <c r="H12" s="19"/>
      <c r="I12" s="9"/>
      <c r="J12" s="9" t="s">
        <v>46</v>
      </c>
      <c r="K12" s="9" t="s">
        <v>46</v>
      </c>
      <c r="L12" s="9" t="s">
        <v>46</v>
      </c>
      <c r="M12" s="9" t="s">
        <v>46</v>
      </c>
      <c r="N12" s="9" t="s">
        <v>46</v>
      </c>
      <c r="O12" s="3"/>
      <c r="P12" s="3"/>
      <c r="Q12" s="9" t="s">
        <v>46</v>
      </c>
      <c r="R12" s="9" t="s">
        <v>46</v>
      </c>
      <c r="S12" s="9" t="s">
        <v>46</v>
      </c>
      <c r="T12" s="3" t="s">
        <v>46</v>
      </c>
      <c r="U12" s="9" t="s">
        <v>68</v>
      </c>
      <c r="V12" s="3"/>
      <c r="W12" s="3"/>
      <c r="X12" s="9" t="s">
        <v>68</v>
      </c>
      <c r="Y12" s="9" t="s">
        <v>68</v>
      </c>
      <c r="Z12" s="3" t="s">
        <v>46</v>
      </c>
      <c r="AA12" s="3" t="s">
        <v>46</v>
      </c>
      <c r="AB12" s="3" t="s">
        <v>46</v>
      </c>
      <c r="AC12" s="3" t="s">
        <v>46</v>
      </c>
      <c r="AD12" s="3"/>
      <c r="AE12" s="3" t="s">
        <v>61</v>
      </c>
      <c r="AF12" s="33" t="s">
        <v>73</v>
      </c>
      <c r="AG12" s="3" t="s">
        <v>46</v>
      </c>
      <c r="AH12" s="3" cm="1">
        <f t="array" ref="AH12">SUMPRODUCT((C12:AG12="P")*($C$5:$AG$5&lt;&gt;"Fri")*($C$5:$AG$5&lt;&gt;"Sat")*($C$4:$AG$4=0))</f>
        <v>18</v>
      </c>
      <c r="AI12" s="3" cm="1">
        <f t="array" ref="AI12">SUMPRODUCT((C12:AG12="A")*($C$5:$AG$5&lt;&gt;"Fri")*($C$5:$AG$5&lt;&gt;"Sat")*($C$4:$AG$4=0))</f>
        <v>0</v>
      </c>
      <c r="AJ12" s="3" cm="1">
        <f t="array" ref="AJ12">SUMPRODUCT((C12:AG12="H")*($C$5:$AG$5&lt;&gt;"Fri")*($C$5:$AG$5&lt;&gt;"Sat")*($C$4:$AG$4=0))</f>
        <v>0</v>
      </c>
      <c r="AK12" s="3" cm="1">
        <f t="array" ref="AK12">SUMPRODUCT(($C$5:$AG$5&lt;&gt;"Fri")*($C$5:$AG$5&lt;&gt;"Sat")*($C$4:$AG$4=0))</f>
        <v>23</v>
      </c>
      <c r="AL12" s="4">
        <f t="shared" si="3"/>
        <v>0.78260869565217395</v>
      </c>
      <c r="AM12" s="4">
        <f t="shared" si="4"/>
        <v>0</v>
      </c>
      <c r="AN12" s="7"/>
    </row>
    <row r="13" spans="1:40" ht="14.45">
      <c r="A13" s="5">
        <v>7</v>
      </c>
      <c r="B13" s="12" t="s">
        <v>52</v>
      </c>
      <c r="C13" s="9" t="s">
        <v>46</v>
      </c>
      <c r="D13" s="24" t="s">
        <v>46</v>
      </c>
      <c r="E13" s="24" t="s">
        <v>61</v>
      </c>
      <c r="F13" s="24" t="s">
        <v>46</v>
      </c>
      <c r="G13" s="24" t="s">
        <v>72</v>
      </c>
      <c r="H13" s="19"/>
      <c r="I13" s="9"/>
      <c r="J13" s="9" t="s">
        <v>46</v>
      </c>
      <c r="K13" s="9" t="s">
        <v>46</v>
      </c>
      <c r="L13" s="9" t="s">
        <v>61</v>
      </c>
      <c r="M13" s="9" t="s">
        <v>46</v>
      </c>
      <c r="N13" s="9" t="s">
        <v>69</v>
      </c>
      <c r="O13" s="3"/>
      <c r="P13" s="3"/>
      <c r="Q13" s="9" t="s">
        <v>46</v>
      </c>
      <c r="R13" s="9" t="s">
        <v>46</v>
      </c>
      <c r="S13" s="3" t="s">
        <v>46</v>
      </c>
      <c r="T13" s="3" t="s">
        <v>46</v>
      </c>
      <c r="U13" s="9" t="s">
        <v>68</v>
      </c>
      <c r="V13" s="3"/>
      <c r="W13" s="3"/>
      <c r="X13" s="9" t="s">
        <v>68</v>
      </c>
      <c r="Y13" s="9" t="s">
        <v>68</v>
      </c>
      <c r="Z13" s="3" t="s">
        <v>46</v>
      </c>
      <c r="AA13" s="3" t="s">
        <v>46</v>
      </c>
      <c r="AB13" s="3" t="s">
        <v>46</v>
      </c>
      <c r="AC13" s="3" t="s">
        <v>46</v>
      </c>
      <c r="AD13" s="3"/>
      <c r="AE13" s="3" t="s">
        <v>46</v>
      </c>
      <c r="AF13" s="3" t="s">
        <v>70</v>
      </c>
      <c r="AG13" s="3" t="s">
        <v>46</v>
      </c>
      <c r="AH13" s="3" cm="1">
        <f t="array" ref="AH13">SUMPRODUCT((C13:AG13="P")*($C$5:$AG$5&lt;&gt;"Fri")*($C$5:$AG$5&lt;&gt;"Sat")*($C$4:$AG$4=0))</f>
        <v>15</v>
      </c>
      <c r="AI13" s="3" cm="1">
        <f t="array" ref="AI13">SUMPRODUCT((C13:AG13="A")*($C$5:$AG$5&lt;&gt;"Fri")*($C$5:$AG$5&lt;&gt;"Sat")*($C$4:$AG$4=0))</f>
        <v>1</v>
      </c>
      <c r="AJ13" s="3" cm="1">
        <f t="array" ref="AJ13">SUMPRODUCT((C13:AG13="H")*($C$5:$AG$5&lt;&gt;"Fri")*($C$5:$AG$5&lt;&gt;"Sat")*($C$4:$AG$4=0))</f>
        <v>0</v>
      </c>
      <c r="AK13" s="3" cm="1">
        <f t="array" ref="AK13">SUMPRODUCT(($C$5:$AG$5&lt;&gt;"Fri")*($C$5:$AG$5&lt;&gt;"Sat")*($C$4:$AG$4=0))</f>
        <v>23</v>
      </c>
      <c r="AL13" s="4">
        <f t="shared" si="3"/>
        <v>0.65217391304347827</v>
      </c>
      <c r="AM13" s="4">
        <f t="shared" si="4"/>
        <v>4.3478260869565216E-2</v>
      </c>
      <c r="AN13" s="7"/>
    </row>
    <row r="14" spans="1:40" ht="14.45">
      <c r="A14" s="5">
        <v>8</v>
      </c>
      <c r="B14" s="10" t="s">
        <v>54</v>
      </c>
      <c r="C14" s="9" t="s">
        <v>61</v>
      </c>
      <c r="D14" s="24" t="s">
        <v>46</v>
      </c>
      <c r="E14" s="24" t="s">
        <v>46</v>
      </c>
      <c r="F14" s="24" t="s">
        <v>73</v>
      </c>
      <c r="G14" s="24" t="s">
        <v>46</v>
      </c>
      <c r="H14" s="19"/>
      <c r="I14" s="9"/>
      <c r="J14" s="9" t="s">
        <v>46</v>
      </c>
      <c r="K14" s="9" t="s">
        <v>61</v>
      </c>
      <c r="L14" s="9" t="s">
        <v>46</v>
      </c>
      <c r="M14" s="9" t="s">
        <v>46</v>
      </c>
      <c r="N14" s="9" t="s">
        <v>46</v>
      </c>
      <c r="O14" s="3"/>
      <c r="P14" s="3"/>
      <c r="Q14" s="9" t="s">
        <v>46</v>
      </c>
      <c r="R14" s="9" t="s">
        <v>46</v>
      </c>
      <c r="S14" s="9" t="s">
        <v>46</v>
      </c>
      <c r="T14" s="3" t="s">
        <v>46</v>
      </c>
      <c r="U14" s="9" t="s">
        <v>68</v>
      </c>
      <c r="V14" s="3"/>
      <c r="W14" s="3"/>
      <c r="X14" s="9" t="s">
        <v>68</v>
      </c>
      <c r="Y14" s="9" t="s">
        <v>68</v>
      </c>
      <c r="Z14" s="3" t="s">
        <v>46</v>
      </c>
      <c r="AA14" s="3" t="s">
        <v>46</v>
      </c>
      <c r="AB14" s="3" t="s">
        <v>46</v>
      </c>
      <c r="AC14" s="3" t="s">
        <v>46</v>
      </c>
      <c r="AD14" s="3"/>
      <c r="AE14" s="3" t="s">
        <v>46</v>
      </c>
      <c r="AF14" s="3" t="s">
        <v>46</v>
      </c>
      <c r="AG14" s="3" t="s">
        <v>46</v>
      </c>
      <c r="AH14" s="3" cm="1">
        <f t="array" ref="AH14">SUMPRODUCT((C14:AG14="P")*($C$5:$AG$5&lt;&gt;"Fri")*($C$5:$AG$5&lt;&gt;"Sat")*($C$4:$AG$4=0))</f>
        <v>17</v>
      </c>
      <c r="AI14" s="3" cm="1">
        <f t="array" ref="AI14">SUMPRODUCT((C14:AG14="A")*($C$5:$AG$5&lt;&gt;"Fri")*($C$5:$AG$5&lt;&gt;"Sat")*($C$4:$AG$4=0))</f>
        <v>0</v>
      </c>
      <c r="AJ14" s="3" cm="1">
        <f t="array" ref="AJ14">SUMPRODUCT((C14:AG14="H")*($C$5:$AG$5&lt;&gt;"Fri")*($C$5:$AG$5&lt;&gt;"Sat")*($C$4:$AG$4=0))</f>
        <v>0</v>
      </c>
      <c r="AK14" s="3" cm="1">
        <f t="array" ref="AK14">SUMPRODUCT(($C$5:$AG$5&lt;&gt;"Fri")*($C$5:$AG$5&lt;&gt;"Sat")*($C$4:$AG$4=0))</f>
        <v>23</v>
      </c>
      <c r="AL14" s="4">
        <f t="shared" si="3"/>
        <v>0.73913043478260865</v>
      </c>
      <c r="AM14" s="4">
        <f t="shared" si="4"/>
        <v>0</v>
      </c>
      <c r="AN14" s="7"/>
    </row>
    <row r="15" spans="1:40">
      <c r="A15" s="5">
        <v>9</v>
      </c>
      <c r="B15" s="10" t="s">
        <v>55</v>
      </c>
      <c r="C15" s="9" t="s">
        <v>46</v>
      </c>
      <c r="D15" s="24" t="s">
        <v>46</v>
      </c>
      <c r="E15" s="24" t="s">
        <v>46</v>
      </c>
      <c r="F15" s="24" t="s">
        <v>46</v>
      </c>
      <c r="G15" s="24" t="s">
        <v>46</v>
      </c>
      <c r="H15" s="19"/>
      <c r="I15" s="9"/>
      <c r="J15" s="9" t="s">
        <v>46</v>
      </c>
      <c r="K15" s="34" t="s">
        <v>74</v>
      </c>
      <c r="L15" s="34" t="s">
        <v>74</v>
      </c>
      <c r="M15" s="9" t="s">
        <v>46</v>
      </c>
      <c r="N15" s="9" t="s">
        <v>46</v>
      </c>
      <c r="O15" s="3"/>
      <c r="P15" s="3"/>
      <c r="Q15" s="9" t="s">
        <v>61</v>
      </c>
      <c r="R15" s="9" t="s">
        <v>46</v>
      </c>
      <c r="S15" s="9" t="s">
        <v>46</v>
      </c>
      <c r="T15" s="3" t="s">
        <v>46</v>
      </c>
      <c r="U15" s="9" t="s">
        <v>68</v>
      </c>
      <c r="V15" s="3"/>
      <c r="W15" s="3"/>
      <c r="X15" s="9" t="s">
        <v>68</v>
      </c>
      <c r="Y15" s="9" t="s">
        <v>68</v>
      </c>
      <c r="Z15" s="3" t="s">
        <v>46</v>
      </c>
      <c r="AA15" s="3" t="s">
        <v>46</v>
      </c>
      <c r="AB15" s="3" t="s">
        <v>46</v>
      </c>
      <c r="AC15" s="3" t="s">
        <v>46</v>
      </c>
      <c r="AD15" s="3"/>
      <c r="AE15" s="3" t="s">
        <v>46</v>
      </c>
      <c r="AF15" s="3" t="s">
        <v>46</v>
      </c>
      <c r="AG15" s="3" t="s">
        <v>46</v>
      </c>
      <c r="AH15" s="3" cm="1">
        <f t="array" ref="AH15">SUMPRODUCT((C15:AG15="P")*($C$5:$AG$5&lt;&gt;"Fri")*($C$5:$AG$5&lt;&gt;"Sat")*($C$4:$AG$4=0))</f>
        <v>17</v>
      </c>
      <c r="AI15" s="3" cm="1">
        <f t="array" ref="AI15">SUMPRODUCT((C15:AG15="A")*($C$5:$AG$5&lt;&gt;"Fri")*($C$5:$AG$5&lt;&gt;"Sat")*($C$4:$AG$4=0))</f>
        <v>0</v>
      </c>
      <c r="AJ15" s="3" cm="1">
        <f t="array" ref="AJ15">SUMPRODUCT((C15:AG15="H")*($C$5:$AG$5&lt;&gt;"Fri")*($C$5:$AG$5&lt;&gt;"Sat")*($C$4:$AG$4=0))</f>
        <v>0</v>
      </c>
      <c r="AK15" s="3" cm="1">
        <f t="array" ref="AK15">SUMPRODUCT(($C$5:$AG$5&lt;&gt;"Fri")*($C$5:$AG$5&lt;&gt;"Sat")*($C$4:$AG$4=0))</f>
        <v>23</v>
      </c>
      <c r="AL15" s="4">
        <f t="shared" si="3"/>
        <v>0.73913043478260865</v>
      </c>
      <c r="AM15" s="4">
        <f t="shared" si="4"/>
        <v>0</v>
      </c>
      <c r="AN15" s="7"/>
    </row>
    <row r="16" spans="1:40">
      <c r="A16" s="5">
        <v>10</v>
      </c>
      <c r="B16" s="10" t="s">
        <v>56</v>
      </c>
      <c r="C16" s="9" t="s">
        <v>46</v>
      </c>
      <c r="D16" s="24" t="s">
        <v>46</v>
      </c>
      <c r="E16" s="24" t="s">
        <v>46</v>
      </c>
      <c r="F16" s="24" t="s">
        <v>61</v>
      </c>
      <c r="G16" s="24" t="s">
        <v>61</v>
      </c>
      <c r="H16" s="19"/>
      <c r="I16" s="9"/>
      <c r="J16" s="9" t="s">
        <v>46</v>
      </c>
      <c r="K16" s="9" t="s">
        <v>46</v>
      </c>
      <c r="L16" s="34" t="s">
        <v>75</v>
      </c>
      <c r="M16" s="9" t="s">
        <v>76</v>
      </c>
      <c r="N16" s="9" t="s">
        <v>46</v>
      </c>
      <c r="O16" s="3"/>
      <c r="P16" s="3"/>
      <c r="Q16" s="9" t="s">
        <v>72</v>
      </c>
      <c r="R16" s="9" t="s">
        <v>46</v>
      </c>
      <c r="S16" s="9" t="s">
        <v>46</v>
      </c>
      <c r="T16" s="3" t="s">
        <v>46</v>
      </c>
      <c r="U16" s="9" t="s">
        <v>68</v>
      </c>
      <c r="V16" s="3"/>
      <c r="W16" s="3"/>
      <c r="X16" s="9" t="s">
        <v>68</v>
      </c>
      <c r="Y16" s="9" t="s">
        <v>68</v>
      </c>
      <c r="Z16" s="3" t="s">
        <v>46</v>
      </c>
      <c r="AA16" s="3" t="s">
        <v>71</v>
      </c>
      <c r="AB16" s="3" t="s">
        <v>46</v>
      </c>
      <c r="AC16" s="3" t="s">
        <v>46</v>
      </c>
      <c r="AD16" s="3"/>
      <c r="AE16" s="3" t="s">
        <v>46</v>
      </c>
      <c r="AF16" s="3" t="s">
        <v>46</v>
      </c>
      <c r="AG16" s="9" t="s">
        <v>72</v>
      </c>
      <c r="AH16" s="3" cm="1">
        <f t="array" ref="AH16">SUMPRODUCT((C16:AG16="P")*($C$5:$AG$5&lt;&gt;"Fri")*($C$5:$AG$5&lt;&gt;"Sat")*($C$4:$AG$4=0))</f>
        <v>13</v>
      </c>
      <c r="AI16" s="3" cm="1">
        <f t="array" ref="AI16">SUMPRODUCT((C16:AG16="A")*($C$5:$AG$5&lt;&gt;"Fri")*($C$5:$AG$5&lt;&gt;"Sat")*($C$4:$AG$4=0))</f>
        <v>0</v>
      </c>
      <c r="AJ16" s="3" cm="1">
        <f t="array" ref="AJ16">SUMPRODUCT((C16:AG16="H")*($C$5:$AG$5&lt;&gt;"Fri")*($C$5:$AG$5&lt;&gt;"Sat")*($C$4:$AG$4=0))</f>
        <v>0</v>
      </c>
      <c r="AK16" s="3" cm="1">
        <f t="array" ref="AK16">SUMPRODUCT(($C$5:$AG$5&lt;&gt;"Fri")*($C$5:$AG$5&lt;&gt;"Sat")*($C$4:$AG$4=0))</f>
        <v>23</v>
      </c>
      <c r="AL16" s="4">
        <f t="shared" si="3"/>
        <v>0.56521739130434778</v>
      </c>
      <c r="AM16" s="4">
        <f t="shared" si="4"/>
        <v>0</v>
      </c>
      <c r="AN16" s="7"/>
    </row>
    <row r="17" spans="1:40" ht="14.45">
      <c r="A17" s="5">
        <v>11</v>
      </c>
      <c r="B17" s="10" t="s">
        <v>57</v>
      </c>
      <c r="C17" s="9" t="s">
        <v>46</v>
      </c>
      <c r="D17" s="24" t="s">
        <v>46</v>
      </c>
      <c r="E17" s="24" t="s">
        <v>46</v>
      </c>
      <c r="F17" s="24" t="s">
        <v>46</v>
      </c>
      <c r="G17" s="24" t="s">
        <v>46</v>
      </c>
      <c r="H17" s="19"/>
      <c r="I17" s="9"/>
      <c r="J17" s="9" t="s">
        <v>46</v>
      </c>
      <c r="K17" s="9" t="s">
        <v>46</v>
      </c>
      <c r="L17" s="9" t="s">
        <v>46</v>
      </c>
      <c r="M17" s="9" t="s">
        <v>46</v>
      </c>
      <c r="N17" s="9" t="s">
        <v>46</v>
      </c>
      <c r="O17" s="3"/>
      <c r="P17" s="3"/>
      <c r="Q17" s="9" t="s">
        <v>46</v>
      </c>
      <c r="R17" s="9" t="s">
        <v>46</v>
      </c>
      <c r="S17" s="9" t="s">
        <v>46</v>
      </c>
      <c r="T17" s="3" t="s">
        <v>46</v>
      </c>
      <c r="U17" s="9" t="s">
        <v>68</v>
      </c>
      <c r="V17" s="3"/>
      <c r="W17" s="3"/>
      <c r="X17" s="9" t="s">
        <v>68</v>
      </c>
      <c r="Y17" s="9" t="s">
        <v>68</v>
      </c>
      <c r="Z17" s="3" t="s">
        <v>46</v>
      </c>
      <c r="AA17" s="3" t="s">
        <v>46</v>
      </c>
      <c r="AB17" s="3" t="s">
        <v>46</v>
      </c>
      <c r="AC17" s="3" t="s">
        <v>46</v>
      </c>
      <c r="AD17" s="3"/>
      <c r="AE17" s="3" t="s">
        <v>46</v>
      </c>
      <c r="AF17" s="3" t="s">
        <v>46</v>
      </c>
      <c r="AG17" s="3" t="s">
        <v>46</v>
      </c>
      <c r="AH17" s="3" cm="1">
        <f t="array" ref="AH17">SUMPRODUCT((C17:AG17="P")*($C$5:$AG$5&lt;&gt;"Fri")*($C$5:$AG$5&lt;&gt;"Sat")*($C$4:$AG$4=0))</f>
        <v>20</v>
      </c>
      <c r="AI17" s="3" cm="1">
        <f t="array" ref="AI17">SUMPRODUCT((C17:AG17="A")*($C$5:$AG$5&lt;&gt;"Fri")*($C$5:$AG$5&lt;&gt;"Sat")*($C$4:$AG$4=0))</f>
        <v>0</v>
      </c>
      <c r="AJ17" s="3" cm="1">
        <f t="array" ref="AJ17">SUMPRODUCT((C17:AG17="H")*($C$5:$AG$5&lt;&gt;"Fri")*($C$5:$AG$5&lt;&gt;"Sat")*($C$4:$AG$4=0))</f>
        <v>0</v>
      </c>
      <c r="AK17" s="3" cm="1">
        <f t="array" ref="AK17">SUMPRODUCT(($C$5:$AG$5&lt;&gt;"Fri")*($C$5:$AG$5&lt;&gt;"Sat")*($C$4:$AG$4=0))</f>
        <v>23</v>
      </c>
      <c r="AL17" s="4">
        <f t="shared" si="3"/>
        <v>0.86956521739130432</v>
      </c>
      <c r="AM17" s="4">
        <f t="shared" si="4"/>
        <v>0</v>
      </c>
      <c r="AN17" s="7"/>
    </row>
    <row r="18" spans="1:40">
      <c r="A18" s="5">
        <v>12</v>
      </c>
      <c r="B18" s="11" t="s">
        <v>58</v>
      </c>
      <c r="C18" s="9" t="s">
        <v>46</v>
      </c>
      <c r="D18" s="24" t="s">
        <v>46</v>
      </c>
      <c r="E18" s="24" t="s">
        <v>72</v>
      </c>
      <c r="F18" s="24" t="s">
        <v>46</v>
      </c>
      <c r="G18" s="24" t="s">
        <v>46</v>
      </c>
      <c r="H18" s="20"/>
      <c r="I18" s="15"/>
      <c r="J18" s="9" t="s">
        <v>46</v>
      </c>
      <c r="K18" s="9" t="s">
        <v>46</v>
      </c>
      <c r="L18" s="9" t="s">
        <v>46</v>
      </c>
      <c r="M18" s="9" t="s">
        <v>46</v>
      </c>
      <c r="N18" s="9" t="s">
        <v>46</v>
      </c>
      <c r="O18" s="3"/>
      <c r="P18" s="16"/>
      <c r="Q18" s="9" t="s">
        <v>46</v>
      </c>
      <c r="R18" s="9" t="s">
        <v>46</v>
      </c>
      <c r="S18" s="15" t="s">
        <v>46</v>
      </c>
      <c r="T18" s="3" t="s">
        <v>70</v>
      </c>
      <c r="U18" s="9" t="s">
        <v>68</v>
      </c>
      <c r="V18" s="3"/>
      <c r="W18" s="16"/>
      <c r="X18" s="9" t="s">
        <v>68</v>
      </c>
      <c r="Y18" s="9" t="s">
        <v>68</v>
      </c>
      <c r="Z18" s="3" t="s">
        <v>46</v>
      </c>
      <c r="AA18" s="3" t="s">
        <v>70</v>
      </c>
      <c r="AB18" s="3" t="s">
        <v>70</v>
      </c>
      <c r="AC18" s="3" t="s">
        <v>46</v>
      </c>
      <c r="AD18" s="16"/>
      <c r="AE18" s="3" t="s">
        <v>46</v>
      </c>
      <c r="AF18" s="3" t="s">
        <v>46</v>
      </c>
      <c r="AG18" s="3" t="s">
        <v>46</v>
      </c>
      <c r="AH18" s="16" cm="1">
        <f t="array" ref="AH18">SUMPRODUCT((C18:AG18="P")*($C$5:$AG$5&lt;&gt;"Fri")*($C$5:$AG$5&lt;&gt;"Sat")*($C$4:$AG$4=0))</f>
        <v>16</v>
      </c>
      <c r="AI18" s="16" cm="1">
        <f t="array" ref="AI18">SUMPRODUCT((C18:AG18="A")*($C$5:$AG$5&lt;&gt;"Fri")*($C$5:$AG$5&lt;&gt;"Sat")*($C$4:$AG$4=0))</f>
        <v>0</v>
      </c>
      <c r="AJ18" s="16" cm="1">
        <f t="array" ref="AJ18">SUMPRODUCT((C18:AG18="H")*($C$5:$AG$5&lt;&gt;"Fri")*($C$5:$AG$5&lt;&gt;"Sat")*($C$4:$AG$4=0))</f>
        <v>0</v>
      </c>
      <c r="AK18" s="16" cm="1">
        <f t="array" ref="AK18">SUMPRODUCT(($C$5:$AG$5&lt;&gt;"Fri")*($C$5:$AG$5&lt;&gt;"Sat")*($C$4:$AG$4=0))</f>
        <v>23</v>
      </c>
      <c r="AL18" s="17">
        <f t="shared" si="3"/>
        <v>0.69565217391304346</v>
      </c>
      <c r="AM18" s="17">
        <f t="shared" si="4"/>
        <v>0</v>
      </c>
      <c r="AN18" s="7"/>
    </row>
    <row r="19" spans="1:40" ht="14.45">
      <c r="A19" s="21">
        <v>13</v>
      </c>
      <c r="B19" s="13" t="s">
        <v>59</v>
      </c>
      <c r="C19" s="9" t="s">
        <v>46</v>
      </c>
      <c r="D19" s="24" t="s">
        <v>72</v>
      </c>
      <c r="E19" s="24" t="s">
        <v>70</v>
      </c>
      <c r="F19" s="24" t="s">
        <v>70</v>
      </c>
      <c r="G19" s="24" t="s">
        <v>70</v>
      </c>
      <c r="H19" s="19"/>
      <c r="I19" s="3"/>
      <c r="J19" s="9" t="s">
        <v>70</v>
      </c>
      <c r="K19" s="9" t="s">
        <v>70</v>
      </c>
      <c r="L19" s="9" t="s">
        <v>70</v>
      </c>
      <c r="M19" s="9" t="s">
        <v>46</v>
      </c>
      <c r="N19" s="9" t="s">
        <v>70</v>
      </c>
      <c r="O19" s="3"/>
      <c r="P19" s="3"/>
      <c r="Q19" s="9" t="s">
        <v>46</v>
      </c>
      <c r="R19" s="9" t="s">
        <v>61</v>
      </c>
      <c r="S19" s="15" t="s">
        <v>61</v>
      </c>
      <c r="T19" s="3" t="s">
        <v>61</v>
      </c>
      <c r="U19" s="9" t="s">
        <v>68</v>
      </c>
      <c r="V19" s="3"/>
      <c r="W19" s="3"/>
      <c r="X19" s="9" t="s">
        <v>68</v>
      </c>
      <c r="Y19" s="9" t="s">
        <v>68</v>
      </c>
      <c r="Z19" s="3" t="s">
        <v>46</v>
      </c>
      <c r="AA19" s="3" t="s">
        <v>46</v>
      </c>
      <c r="AB19" s="3" t="s">
        <v>46</v>
      </c>
      <c r="AC19" s="3" t="s">
        <v>46</v>
      </c>
      <c r="AD19" s="3"/>
      <c r="AE19" s="3" t="s">
        <v>46</v>
      </c>
      <c r="AF19" s="3" t="s">
        <v>46</v>
      </c>
      <c r="AG19" s="3" t="s">
        <v>46</v>
      </c>
      <c r="AH19" s="16" cm="1">
        <f t="array" ref="AH19">SUMPRODUCT((C19:AG19="P")*($C$5:$AG$5&lt;&gt;"Fri")*($C$5:$AG$5&lt;&gt;"Sat")*($C$4:$AG$4=0))</f>
        <v>9</v>
      </c>
      <c r="AI19" s="16" cm="1">
        <f t="array" ref="AI19">SUMPRODUCT((C19:AG19="A")*($C$5:$AG$5&lt;&gt;"Fri")*($C$5:$AG$5&lt;&gt;"Sat")*($C$4:$AG$4=0))</f>
        <v>0</v>
      </c>
      <c r="AJ19" s="16" cm="1">
        <f t="array" ref="AJ19">SUMPRODUCT((C19:AG19="H")*($C$5:$AG$5&lt;&gt;"Fri")*($C$5:$AG$5&lt;&gt;"Sat")*($C$4:$AG$4=0))</f>
        <v>0</v>
      </c>
      <c r="AK19" s="16" cm="1">
        <f t="array" ref="AK19">SUMPRODUCT(($C$5:$AG$5&lt;&gt;"Fri")*($C$5:$AG$5&lt;&gt;"Sat")*($C$4:$AG$4=0))</f>
        <v>23</v>
      </c>
      <c r="AL19" s="17">
        <f t="shared" si="3"/>
        <v>0.39130434782608697</v>
      </c>
      <c r="AM19" s="17">
        <f t="shared" si="4"/>
        <v>0</v>
      </c>
      <c r="AN19" s="18"/>
    </row>
    <row r="20" spans="1:40" ht="14.45">
      <c r="A20" s="22">
        <v>14</v>
      </c>
      <c r="B20" s="13" t="s">
        <v>60</v>
      </c>
      <c r="C20" s="9" t="s">
        <v>46</v>
      </c>
      <c r="D20" s="24" t="s">
        <v>46</v>
      </c>
      <c r="E20" s="24" t="s">
        <v>46</v>
      </c>
      <c r="F20" s="24" t="s">
        <v>46</v>
      </c>
      <c r="G20" s="24" t="s">
        <v>70</v>
      </c>
      <c r="H20" s="19"/>
      <c r="I20" s="3"/>
      <c r="J20" s="9" t="s">
        <v>46</v>
      </c>
      <c r="K20" s="9" t="s">
        <v>70</v>
      </c>
      <c r="L20" s="9" t="s">
        <v>46</v>
      </c>
      <c r="M20" s="9" t="s">
        <v>46</v>
      </c>
      <c r="N20" s="9" t="s">
        <v>46</v>
      </c>
      <c r="O20" s="3"/>
      <c r="P20" s="3"/>
      <c r="Q20" s="9" t="s">
        <v>46</v>
      </c>
      <c r="R20" s="9" t="s">
        <v>46</v>
      </c>
      <c r="S20" s="15" t="s">
        <v>46</v>
      </c>
      <c r="T20" s="3" t="s">
        <v>46</v>
      </c>
      <c r="U20" s="9" t="s">
        <v>68</v>
      </c>
      <c r="V20" s="3"/>
      <c r="W20" s="3"/>
      <c r="X20" s="9" t="s">
        <v>68</v>
      </c>
      <c r="Y20" s="9" t="s">
        <v>68</v>
      </c>
      <c r="Z20" s="3" t="s">
        <v>46</v>
      </c>
      <c r="AA20" s="3" t="s">
        <v>46</v>
      </c>
      <c r="AB20" s="3" t="s">
        <v>46</v>
      </c>
      <c r="AC20" s="3" t="s">
        <v>46</v>
      </c>
      <c r="AD20" s="3"/>
      <c r="AE20" s="3" t="s">
        <v>46</v>
      </c>
      <c r="AF20" s="3" t="s">
        <v>46</v>
      </c>
      <c r="AG20" s="3" t="s">
        <v>46</v>
      </c>
      <c r="AH20" s="16" cm="1">
        <f t="array" ref="AH20">SUMPRODUCT((C20:AG20="P")*($C$5:$AG$5&lt;&gt;"Fri")*($C$5:$AG$5&lt;&gt;"Sat")*($C$4:$AG$4=0))</f>
        <v>18</v>
      </c>
      <c r="AI20" s="16" cm="1">
        <f t="array" ref="AI20">SUMPRODUCT((C20:AG20="A")*($C$5:$AG$5&lt;&gt;"Fri")*($C$5:$AG$5&lt;&gt;"Sat")*($C$4:$AG$4=0))</f>
        <v>0</v>
      </c>
      <c r="AJ20" s="16" cm="1">
        <f t="array" ref="AJ20">SUMPRODUCT((C20:AG20="H")*($C$5:$AG$5&lt;&gt;"Fri")*($C$5:$AG$5&lt;&gt;"Sat")*($C$4:$AG$4=0))</f>
        <v>0</v>
      </c>
      <c r="AK20" s="16" cm="1">
        <f t="array" ref="AK20">SUMPRODUCT(($C$5:$AG$5&lt;&gt;"Fri")*($C$5:$AG$5&lt;&gt;"Sat")*($C$4:$AG$4=0))</f>
        <v>23</v>
      </c>
      <c r="AL20" s="17">
        <f t="shared" si="3"/>
        <v>0.78260869565217395</v>
      </c>
      <c r="AM20" s="17">
        <f t="shared" si="4"/>
        <v>0</v>
      </c>
      <c r="AN20" s="18"/>
    </row>
    <row r="21" spans="1:40" ht="14.45" customHeight="1">
      <c r="A21" s="22">
        <v>15</v>
      </c>
      <c r="B21" s="14" t="s">
        <v>62</v>
      </c>
      <c r="C21" s="9" t="s">
        <v>46</v>
      </c>
      <c r="D21" s="24" t="s">
        <v>46</v>
      </c>
      <c r="E21" s="24" t="s">
        <v>46</v>
      </c>
      <c r="F21" s="24" t="s">
        <v>46</v>
      </c>
      <c r="G21" s="24" t="s">
        <v>61</v>
      </c>
      <c r="H21" s="19"/>
      <c r="I21" s="3"/>
      <c r="J21" s="9" t="s">
        <v>72</v>
      </c>
      <c r="K21" s="9" t="s">
        <v>46</v>
      </c>
      <c r="L21" s="9" t="s">
        <v>46</v>
      </c>
      <c r="M21" s="9" t="s">
        <v>46</v>
      </c>
      <c r="N21" s="9" t="s">
        <v>46</v>
      </c>
      <c r="O21" s="3"/>
      <c r="P21" s="3"/>
      <c r="Q21" s="9" t="s">
        <v>46</v>
      </c>
      <c r="R21" s="9" t="s">
        <v>46</v>
      </c>
      <c r="S21" s="15" t="s">
        <v>46</v>
      </c>
      <c r="T21" s="3" t="s">
        <v>46</v>
      </c>
      <c r="U21" s="9" t="s">
        <v>68</v>
      </c>
      <c r="V21" s="3"/>
      <c r="W21" s="3"/>
      <c r="X21" s="9" t="s">
        <v>68</v>
      </c>
      <c r="Y21" s="9" t="s">
        <v>68</v>
      </c>
      <c r="Z21" s="3" t="s">
        <v>46</v>
      </c>
      <c r="AA21" s="3" t="s">
        <v>46</v>
      </c>
      <c r="AB21" s="3" t="s">
        <v>46</v>
      </c>
      <c r="AC21" s="3" t="s">
        <v>46</v>
      </c>
      <c r="AD21" s="3"/>
      <c r="AE21" s="3" t="s">
        <v>46</v>
      </c>
      <c r="AF21" s="3" t="s">
        <v>46</v>
      </c>
      <c r="AG21" s="3" t="s">
        <v>46</v>
      </c>
      <c r="AH21" s="16" cm="1">
        <f t="array" ref="AH21">SUMPRODUCT((C21:AG21="P")*($C$5:$AG$5&lt;&gt;"Fri")*($C$5:$AG$5&lt;&gt;"Sat")*($C$4:$AG$4=0))</f>
        <v>18</v>
      </c>
      <c r="AI21" s="16" cm="1">
        <f t="array" ref="AI21">SUMPRODUCT((C21:AG21="A")*($C$5:$AG$5&lt;&gt;"Fri")*($C$5:$AG$5&lt;&gt;"Sat")*($C$4:$AG$4=0))</f>
        <v>0</v>
      </c>
      <c r="AJ21" s="16" cm="1">
        <f t="array" ref="AJ21">SUMPRODUCT((C21:AG21="H")*($C$5:$AG$5&lt;&gt;"Fri")*($C$5:$AG$5&lt;&gt;"Sat")*($C$4:$AG$4=0))</f>
        <v>0</v>
      </c>
      <c r="AK21" s="16" cm="1">
        <f t="array" ref="AK21">SUMPRODUCT(($C$5:$AG$5&lt;&gt;"Fri")*($C$5:$AG$5&lt;&gt;"Sat")*($C$4:$AG$4=0))</f>
        <v>23</v>
      </c>
      <c r="AL21" s="17">
        <f t="shared" si="3"/>
        <v>0.78260869565217395</v>
      </c>
      <c r="AM21" s="17">
        <f t="shared" si="4"/>
        <v>0</v>
      </c>
      <c r="AN21" s="18"/>
    </row>
    <row r="22" spans="1:40" ht="14.45" customHeight="1">
      <c r="A22" s="22">
        <v>16</v>
      </c>
      <c r="B22" s="14" t="s">
        <v>63</v>
      </c>
      <c r="C22" s="9" t="s">
        <v>46</v>
      </c>
      <c r="D22" s="24" t="s">
        <v>61</v>
      </c>
      <c r="E22" s="24" t="s">
        <v>46</v>
      </c>
      <c r="F22" s="24" t="s">
        <v>46</v>
      </c>
      <c r="G22" s="24" t="s">
        <v>46</v>
      </c>
      <c r="H22" s="19"/>
      <c r="I22" s="3"/>
      <c r="J22" s="9" t="s">
        <v>46</v>
      </c>
      <c r="K22" s="9" t="s">
        <v>46</v>
      </c>
      <c r="L22" s="9" t="s">
        <v>46</v>
      </c>
      <c r="M22" s="9" t="s">
        <v>46</v>
      </c>
      <c r="N22" s="9" t="s">
        <v>46</v>
      </c>
      <c r="O22" s="3"/>
      <c r="P22" s="3"/>
      <c r="Q22" s="9" t="s">
        <v>46</v>
      </c>
      <c r="R22" s="9" t="s">
        <v>46</v>
      </c>
      <c r="S22" s="15" t="s">
        <v>61</v>
      </c>
      <c r="T22" s="3" t="s">
        <v>46</v>
      </c>
      <c r="U22" s="9" t="s">
        <v>68</v>
      </c>
      <c r="V22" s="3"/>
      <c r="W22" s="3"/>
      <c r="X22" s="9" t="s">
        <v>68</v>
      </c>
      <c r="Y22" s="9" t="s">
        <v>68</v>
      </c>
      <c r="Z22" s="3" t="s">
        <v>46</v>
      </c>
      <c r="AA22" s="3" t="s">
        <v>46</v>
      </c>
      <c r="AB22" s="3" t="s">
        <v>46</v>
      </c>
      <c r="AC22" s="3"/>
      <c r="AD22" s="3"/>
      <c r="AE22" s="3" t="s">
        <v>46</v>
      </c>
      <c r="AF22" s="3" t="s">
        <v>46</v>
      </c>
      <c r="AG22" s="3" t="s">
        <v>46</v>
      </c>
      <c r="AH22" s="16" cm="1">
        <f t="array" ref="AH22">SUMPRODUCT((C22:AG22="P")*($C$5:$AG$5&lt;&gt;"Fri")*($C$5:$AG$5&lt;&gt;"Sat")*($C$4:$AG$4=0))</f>
        <v>18</v>
      </c>
      <c r="AI22" s="16" cm="1">
        <f t="array" ref="AI22">SUMPRODUCT((C22:AG22="A")*($C$5:$AG$5&lt;&gt;"Fri")*($C$5:$AG$5&lt;&gt;"Sat")*($C$4:$AG$4=0))</f>
        <v>0</v>
      </c>
      <c r="AJ22" s="16" cm="1">
        <f t="array" ref="AJ22">SUMPRODUCT((C22:AG22="H")*($C$5:$AG$5&lt;&gt;"Fri")*($C$5:$AG$5&lt;&gt;"Sat")*($C$4:$AG$4=0))</f>
        <v>0</v>
      </c>
      <c r="AK22" s="16" cm="1">
        <f t="array" ref="AK22">SUMPRODUCT(($C$5:$AG$5&lt;&gt;"Fri")*($C$5:$AG$5&lt;&gt;"Sat")*($C$4:$AG$4=0))</f>
        <v>23</v>
      </c>
      <c r="AL22" s="17">
        <f t="shared" si="3"/>
        <v>0.78260869565217395</v>
      </c>
      <c r="AM22" s="17">
        <f t="shared" si="4"/>
        <v>0</v>
      </c>
      <c r="AN22" s="18"/>
    </row>
    <row r="23" spans="1:40" ht="14.45" customHeight="1">
      <c r="A23" s="22">
        <v>17</v>
      </c>
      <c r="B23" s="14" t="s">
        <v>64</v>
      </c>
      <c r="C23" s="9" t="s">
        <v>46</v>
      </c>
      <c r="D23" s="24" t="s">
        <v>46</v>
      </c>
      <c r="E23" s="24" t="s">
        <v>46</v>
      </c>
      <c r="F23" s="24" t="s">
        <v>46</v>
      </c>
      <c r="G23" s="24" t="s">
        <v>46</v>
      </c>
      <c r="H23" s="19"/>
      <c r="I23" s="3"/>
      <c r="J23" s="9" t="s">
        <v>46</v>
      </c>
      <c r="K23" s="9" t="s">
        <v>70</v>
      </c>
      <c r="L23" s="9" t="s">
        <v>46</v>
      </c>
      <c r="M23" s="9" t="s">
        <v>46</v>
      </c>
      <c r="N23" s="9" t="s">
        <v>46</v>
      </c>
      <c r="O23" s="3"/>
      <c r="P23" s="3"/>
      <c r="Q23" s="9" t="s">
        <v>46</v>
      </c>
      <c r="R23" s="9" t="s">
        <v>46</v>
      </c>
      <c r="S23" s="15" t="s">
        <v>46</v>
      </c>
      <c r="T23" s="3" t="s">
        <v>46</v>
      </c>
      <c r="U23" s="9" t="s">
        <v>68</v>
      </c>
      <c r="V23" s="3"/>
      <c r="W23" s="3"/>
      <c r="X23" s="9" t="s">
        <v>68</v>
      </c>
      <c r="Y23" s="9" t="s">
        <v>68</v>
      </c>
      <c r="Z23" s="3" t="s">
        <v>46</v>
      </c>
      <c r="AA23" s="3" t="s">
        <v>46</v>
      </c>
      <c r="AB23" s="3" t="s">
        <v>46</v>
      </c>
      <c r="AC23" s="3"/>
      <c r="AD23" s="3"/>
      <c r="AE23" s="3" t="s">
        <v>46</v>
      </c>
      <c r="AF23" s="3" t="s">
        <v>46</v>
      </c>
      <c r="AG23" s="3" t="s">
        <v>46</v>
      </c>
      <c r="AH23" s="16" cm="1">
        <f t="array" ref="AH23">SUMPRODUCT((C23:AG23="P")*($C$5:$AG$5&lt;&gt;"Fri")*($C$5:$AG$5&lt;&gt;"Sat")*($C$4:$AG$4=0))</f>
        <v>19</v>
      </c>
      <c r="AI23" s="16" cm="1">
        <f t="array" ref="AI23">SUMPRODUCT((C23:AG23="A")*($C$5:$AG$5&lt;&gt;"Fri")*($C$5:$AG$5&lt;&gt;"Sat")*($C$4:$AG$4=0))</f>
        <v>0</v>
      </c>
      <c r="AJ23" s="16" cm="1">
        <f t="array" ref="AJ23">SUMPRODUCT((C23:AG23="H")*($C$5:$AG$5&lt;&gt;"Fri")*($C$5:$AG$5&lt;&gt;"Sat")*($C$4:$AG$4=0))</f>
        <v>0</v>
      </c>
      <c r="AK23" s="16" cm="1">
        <f t="array" ref="AK23">SUMPRODUCT(($C$5:$AG$5&lt;&gt;"Fri")*($C$5:$AG$5&lt;&gt;"Sat")*($C$4:$AG$4=0))</f>
        <v>23</v>
      </c>
      <c r="AL23" s="17">
        <f t="shared" si="3"/>
        <v>0.82608695652173914</v>
      </c>
      <c r="AM23" s="17">
        <f t="shared" si="4"/>
        <v>0</v>
      </c>
      <c r="AN23" s="18"/>
    </row>
    <row r="24" spans="1:40" ht="14.45" customHeight="1">
      <c r="A24" s="22">
        <v>18</v>
      </c>
      <c r="B24" s="14" t="s">
        <v>65</v>
      </c>
      <c r="C24" s="9" t="s">
        <v>61</v>
      </c>
      <c r="D24" s="24" t="s">
        <v>46</v>
      </c>
      <c r="E24" s="24" t="s">
        <v>72</v>
      </c>
      <c r="F24" s="33" t="s">
        <v>73</v>
      </c>
      <c r="G24" s="33" t="s">
        <v>73</v>
      </c>
      <c r="H24" s="19"/>
      <c r="I24" s="3"/>
      <c r="J24" s="9" t="s">
        <v>70</v>
      </c>
      <c r="K24" s="34" t="s">
        <v>75</v>
      </c>
      <c r="L24" s="9" t="s">
        <v>61</v>
      </c>
      <c r="M24" s="34" t="s">
        <v>77</v>
      </c>
      <c r="N24" s="9" t="s">
        <v>46</v>
      </c>
      <c r="O24" s="3"/>
      <c r="P24" s="3"/>
      <c r="Q24" s="9" t="s">
        <v>46</v>
      </c>
      <c r="R24" s="9" t="s">
        <v>61</v>
      </c>
      <c r="S24" s="30" t="s">
        <v>46</v>
      </c>
      <c r="T24" s="31" t="s">
        <v>46</v>
      </c>
      <c r="U24" s="9" t="s">
        <v>68</v>
      </c>
      <c r="V24" s="3"/>
      <c r="W24" s="3"/>
      <c r="X24" s="9" t="s">
        <v>68</v>
      </c>
      <c r="Y24" s="9" t="s">
        <v>68</v>
      </c>
      <c r="Z24" s="3" t="s">
        <v>71</v>
      </c>
      <c r="AA24" s="3" t="s">
        <v>46</v>
      </c>
      <c r="AB24" s="3" t="s">
        <v>46</v>
      </c>
      <c r="AC24" s="3"/>
      <c r="AD24" s="3"/>
      <c r="AE24" s="3" t="s">
        <v>61</v>
      </c>
      <c r="AF24" s="33" t="s">
        <v>73</v>
      </c>
      <c r="AG24" s="33" t="s">
        <v>73</v>
      </c>
      <c r="AH24" s="16" cm="1">
        <f t="array" ref="AH24">SUMPRODUCT((C24:AG24="P")*($C$5:$AG$5&lt;&gt;"Fri")*($C$5:$AG$5&lt;&gt;"Sat")*($C$4:$AG$4=0))</f>
        <v>7</v>
      </c>
      <c r="AI24" s="16" cm="1">
        <f t="array" ref="AI24">SUMPRODUCT((C24:AG24="A")*($C$5:$AG$5&lt;&gt;"Fri")*($C$5:$AG$5&lt;&gt;"Sat")*($C$4:$AG$4=0))</f>
        <v>0</v>
      </c>
      <c r="AJ24" s="16" cm="1">
        <f t="array" ref="AJ24">SUMPRODUCT((C24:AG24="H")*($C$5:$AG$5&lt;&gt;"Fri")*($C$5:$AG$5&lt;&gt;"Sat")*($C$4:$AG$4=0))</f>
        <v>0</v>
      </c>
      <c r="AK24" s="16" cm="1">
        <f t="array" ref="AK24">SUMPRODUCT(($C$5:$AG$5&lt;&gt;"Fri")*($C$5:$AG$5&lt;&gt;"Sat")*($C$4:$AG$4=0))</f>
        <v>23</v>
      </c>
      <c r="AL24" s="17">
        <f t="shared" si="3"/>
        <v>0.30434782608695654</v>
      </c>
      <c r="AM24" s="17">
        <f t="shared" si="4"/>
        <v>0</v>
      </c>
      <c r="AN24" s="18"/>
    </row>
    <row r="25" spans="1:40" ht="14.45" customHeight="1">
      <c r="A25" s="22">
        <v>19</v>
      </c>
      <c r="B25" s="14" t="s">
        <v>66</v>
      </c>
      <c r="C25" s="9" t="s">
        <v>46</v>
      </c>
      <c r="D25" s="32" t="s">
        <v>78</v>
      </c>
      <c r="E25" s="24" t="s">
        <v>61</v>
      </c>
      <c r="F25" s="24" t="s">
        <v>69</v>
      </c>
      <c r="G25" s="24" t="s">
        <v>72</v>
      </c>
      <c r="H25" s="19"/>
      <c r="I25" s="3"/>
      <c r="J25" s="9" t="s">
        <v>46</v>
      </c>
      <c r="K25" s="9" t="s">
        <v>79</v>
      </c>
      <c r="L25" s="9" t="s">
        <v>46</v>
      </c>
      <c r="M25" s="9" t="s">
        <v>72</v>
      </c>
      <c r="N25" s="9" t="s">
        <v>46</v>
      </c>
      <c r="O25" s="3"/>
      <c r="P25" s="3"/>
      <c r="Q25" s="34" t="s">
        <v>75</v>
      </c>
      <c r="R25" s="9" t="s">
        <v>46</v>
      </c>
      <c r="S25" s="9" t="s">
        <v>46</v>
      </c>
      <c r="T25" s="3" t="s">
        <v>46</v>
      </c>
      <c r="U25" s="9" t="s">
        <v>68</v>
      </c>
      <c r="V25" s="3"/>
      <c r="W25" s="3"/>
      <c r="X25" s="9" t="s">
        <v>68</v>
      </c>
      <c r="Y25" s="9" t="s">
        <v>68</v>
      </c>
      <c r="Z25" s="3" t="s">
        <v>46</v>
      </c>
      <c r="AA25" s="3" t="s">
        <v>46</v>
      </c>
      <c r="AB25" s="3" t="s">
        <v>46</v>
      </c>
      <c r="AC25" s="3"/>
      <c r="AD25" s="3"/>
      <c r="AE25" s="3" t="s">
        <v>46</v>
      </c>
      <c r="AF25" s="3" t="s">
        <v>46</v>
      </c>
      <c r="AG25" s="3" t="s">
        <v>46</v>
      </c>
      <c r="AH25" s="16" cm="1">
        <f t="array" ref="AH25">SUMPRODUCT((C25:AG25="P")*($C$5:$AG$5&lt;&gt;"Fri")*($C$5:$AG$5&lt;&gt;"Sat")*($C$4:$AG$4=0))</f>
        <v>13</v>
      </c>
      <c r="AI25" s="16" cm="1">
        <f t="array" ref="AI25">SUMPRODUCT((C25:AG25="A")*($C$5:$AG$5&lt;&gt;"Fri")*($C$5:$AG$5&lt;&gt;"Sat")*($C$4:$AG$4=0))</f>
        <v>1</v>
      </c>
      <c r="AJ25" s="16" cm="1">
        <f t="array" ref="AJ25">SUMPRODUCT((C25:AG25="H")*($C$5:$AG$5&lt;&gt;"Fri")*($C$5:$AG$5&lt;&gt;"Sat")*($C$4:$AG$4=0))</f>
        <v>0</v>
      </c>
      <c r="AK25" s="16" cm="1">
        <f t="array" ref="AK25">SUMPRODUCT(($C$5:$AG$5&lt;&gt;"Fri")*($C$5:$AG$5&lt;&gt;"Sat")*($C$4:$AG$4=0))</f>
        <v>23</v>
      </c>
      <c r="AL25" s="17">
        <f t="shared" si="3"/>
        <v>0.56521739130434778</v>
      </c>
      <c r="AM25" s="17">
        <f t="shared" si="4"/>
        <v>4.3478260869565216E-2</v>
      </c>
      <c r="AN25" s="18"/>
    </row>
    <row r="26" spans="1:40" ht="14.45">
      <c r="A26" s="22">
        <v>20</v>
      </c>
      <c r="B26" s="14" t="s">
        <v>67</v>
      </c>
      <c r="C26" s="9" t="s">
        <v>46</v>
      </c>
      <c r="D26" s="24" t="s">
        <v>46</v>
      </c>
      <c r="E26" s="24" t="s">
        <v>46</v>
      </c>
      <c r="F26" s="24" t="s">
        <v>46</v>
      </c>
      <c r="G26" s="24" t="s">
        <v>46</v>
      </c>
      <c r="H26" s="19"/>
      <c r="I26" s="3"/>
      <c r="J26" s="9" t="s">
        <v>46</v>
      </c>
      <c r="K26" s="9" t="s">
        <v>61</v>
      </c>
      <c r="L26" s="9" t="s">
        <v>46</v>
      </c>
      <c r="M26" s="9" t="s">
        <v>46</v>
      </c>
      <c r="N26" s="9" t="s">
        <v>46</v>
      </c>
      <c r="O26" s="3"/>
      <c r="P26" s="3"/>
      <c r="Q26" s="9" t="s">
        <v>46</v>
      </c>
      <c r="R26" s="9" t="s">
        <v>46</v>
      </c>
      <c r="S26" s="9" t="s">
        <v>46</v>
      </c>
      <c r="T26" s="3" t="s">
        <v>46</v>
      </c>
      <c r="U26" s="9" t="s">
        <v>68</v>
      </c>
      <c r="V26" s="3"/>
      <c r="W26" s="3"/>
      <c r="X26" s="9" t="s">
        <v>68</v>
      </c>
      <c r="Y26" s="9" t="s">
        <v>68</v>
      </c>
      <c r="Z26" s="3" t="s">
        <v>46</v>
      </c>
      <c r="AA26" s="3" t="s">
        <v>46</v>
      </c>
      <c r="AB26" s="3" t="s">
        <v>46</v>
      </c>
      <c r="AC26" s="3" t="s">
        <v>46</v>
      </c>
      <c r="AD26" s="3"/>
      <c r="AE26" s="3" t="s">
        <v>46</v>
      </c>
      <c r="AF26" s="3" t="s">
        <v>46</v>
      </c>
      <c r="AG26" s="3" t="s">
        <v>46</v>
      </c>
      <c r="AH26" s="3" cm="1">
        <f t="array" ref="AH26">SUMPRODUCT((C26:AG26="P")*($C$5:$AG$5&lt;&gt;"Fri")*($C$5:$AG$5&lt;&gt;"Sat")*($C$4:$AG$4=0))</f>
        <v>19</v>
      </c>
      <c r="AI26" s="3" cm="1">
        <f t="array" ref="AI26">SUMPRODUCT((C26:AG26="A")*($C$5:$AG$5&lt;&gt;"Fri")*($C$5:$AG$5&lt;&gt;"Sat")*($C$4:$AG$4=0))</f>
        <v>0</v>
      </c>
      <c r="AJ26" s="3" cm="1">
        <f t="array" ref="AJ26">SUMPRODUCT((C26:AG26="H")*($C$5:$AG$5&lt;&gt;"Fri")*($C$5:$AG$5&lt;&gt;"Sat")*($C$4:$AG$4=0))</f>
        <v>0</v>
      </c>
      <c r="AK26" s="3" cm="1">
        <f t="array" ref="AK26">SUMPRODUCT(($C$5:$AG$5&lt;&gt;"Fri")*($C$5:$AG$5&lt;&gt;"Sat")*($C$4:$AG$4=0))</f>
        <v>23</v>
      </c>
      <c r="AL26" s="4">
        <f t="shared" si="3"/>
        <v>0.82608695652173914</v>
      </c>
      <c r="AM26" s="4">
        <f t="shared" si="4"/>
        <v>0</v>
      </c>
      <c r="AN26" s="18"/>
    </row>
    <row r="27" spans="1:40" ht="14.4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8"/>
    </row>
    <row r="29" spans="1:40" ht="14.45">
      <c r="B29" s="28"/>
    </row>
  </sheetData>
  <mergeCells count="17">
    <mergeCell ref="AL5:AL6"/>
    <mergeCell ref="AM5:AM6"/>
    <mergeCell ref="A5:A6"/>
    <mergeCell ref="B5:B6"/>
    <mergeCell ref="AH5:AH6"/>
    <mergeCell ref="AI5:AI6"/>
    <mergeCell ref="AJ5:AJ6"/>
    <mergeCell ref="AK5:AK6"/>
    <mergeCell ref="A1:L1"/>
    <mergeCell ref="M1:Q1"/>
    <mergeCell ref="R1:T1"/>
    <mergeCell ref="B2:B4"/>
    <mergeCell ref="F2:H2"/>
    <mergeCell ref="I2:J2"/>
    <mergeCell ref="N2:P2"/>
    <mergeCell ref="Q2:AM3"/>
    <mergeCell ref="C3:P3"/>
  </mergeCells>
  <conditionalFormatting sqref="C5:AG6">
    <cfRule type="expression" dxfId="53" priority="47">
      <formula>OR(C$5="Fri", C$5="Sat")</formula>
    </cfRule>
  </conditionalFormatting>
  <conditionalFormatting sqref="C10:S10 C11:T26 C7:T9 V7:W26 Z7:AG26">
    <cfRule type="expression" dxfId="52" priority="46">
      <formula>OR(C$5="Fri", C$5="Sat")</formula>
    </cfRule>
  </conditionalFormatting>
  <conditionalFormatting sqref="C5:AG6 C10:S10 C11:T26 C7:T9 V7:W26 Z7:AG26">
    <cfRule type="cellIs" dxfId="51" priority="45" operator="equal">
      <formula>"A"</formula>
    </cfRule>
  </conditionalFormatting>
  <conditionalFormatting sqref="C10:S10 C11:T26 C7:T9 V7:W26 Z7:AG26">
    <cfRule type="cellIs" dxfId="50" priority="44" operator="equal">
      <formula>"a"</formula>
    </cfRule>
  </conditionalFormatting>
  <conditionalFormatting sqref="C10:S10 C11:T26 C7:T9 V7:W26 Z7:AB26">
    <cfRule type="containsText" dxfId="49" priority="43" operator="containsText" text="L">
      <formula>NOT(ISERROR(SEARCH("L",C7)))</formula>
    </cfRule>
  </conditionalFormatting>
  <conditionalFormatting sqref="C10:S10 C11:T26 C7:T9 V7:W26 Z7:AB26">
    <cfRule type="containsText" dxfId="48" priority="42" operator="containsText" text="AP">
      <formula>NOT(ISERROR(SEARCH("AP",C7)))</formula>
    </cfRule>
  </conditionalFormatting>
  <conditionalFormatting sqref="C10:S10 C11:T26 C7:T9 V7:W26 Z7:AG26">
    <cfRule type="containsText" dxfId="47" priority="41" operator="containsText" text="SL">
      <formula>NOT(ISERROR(SEARCH("SL",C7)))</formula>
    </cfRule>
  </conditionalFormatting>
  <conditionalFormatting sqref="U7:U26">
    <cfRule type="expression" dxfId="46" priority="40">
      <formula>OR(U$5="Fri", U$5="Sat")</formula>
    </cfRule>
  </conditionalFormatting>
  <conditionalFormatting sqref="U7:U26">
    <cfRule type="cellIs" dxfId="45" priority="39" operator="equal">
      <formula>"A"</formula>
    </cfRule>
  </conditionalFormatting>
  <conditionalFormatting sqref="U7:U26">
    <cfRule type="cellIs" dxfId="44" priority="38" operator="equal">
      <formula>"a"</formula>
    </cfRule>
  </conditionalFormatting>
  <conditionalFormatting sqref="U7:U26">
    <cfRule type="containsText" dxfId="43" priority="37" operator="containsText" text="L">
      <formula>NOT(ISERROR(SEARCH("L",U7)))</formula>
    </cfRule>
  </conditionalFormatting>
  <conditionalFormatting sqref="U7:U26">
    <cfRule type="containsText" dxfId="42" priority="36" operator="containsText" text="AP">
      <formula>NOT(ISERROR(SEARCH("AP",U7)))</formula>
    </cfRule>
  </conditionalFormatting>
  <conditionalFormatting sqref="U7:U26">
    <cfRule type="containsText" dxfId="41" priority="35" operator="containsText" text="SL">
      <formula>NOT(ISERROR(SEARCH("SL",U7)))</formula>
    </cfRule>
  </conditionalFormatting>
  <conditionalFormatting sqref="X7:X26">
    <cfRule type="expression" dxfId="40" priority="34">
      <formula>OR(X$5="Fri", X$5="Sat")</formula>
    </cfRule>
  </conditionalFormatting>
  <conditionalFormatting sqref="X7:X26">
    <cfRule type="cellIs" dxfId="39" priority="33" operator="equal">
      <formula>"A"</formula>
    </cfRule>
  </conditionalFormatting>
  <conditionalFormatting sqref="X7:X26">
    <cfRule type="cellIs" dxfId="38" priority="32" operator="equal">
      <formula>"a"</formula>
    </cfRule>
  </conditionalFormatting>
  <conditionalFormatting sqref="X7:X26">
    <cfRule type="containsText" dxfId="37" priority="31" operator="containsText" text="L">
      <formula>NOT(ISERROR(SEARCH("L",X7)))</formula>
    </cfRule>
  </conditionalFormatting>
  <conditionalFormatting sqref="X7:X26">
    <cfRule type="containsText" dxfId="36" priority="30" operator="containsText" text="AP">
      <formula>NOT(ISERROR(SEARCH("AP",X7)))</formula>
    </cfRule>
  </conditionalFormatting>
  <conditionalFormatting sqref="X7:X26">
    <cfRule type="containsText" dxfId="35" priority="29" operator="containsText" text="SL">
      <formula>NOT(ISERROR(SEARCH("SL",X7)))</formula>
    </cfRule>
  </conditionalFormatting>
  <conditionalFormatting sqref="Y7:Y26">
    <cfRule type="expression" dxfId="34" priority="28">
      <formula>OR(Y$5="Fri", Y$5="Sat")</formula>
    </cfRule>
  </conditionalFormatting>
  <conditionalFormatting sqref="Y7:Y26">
    <cfRule type="cellIs" dxfId="33" priority="27" operator="equal">
      <formula>"A"</formula>
    </cfRule>
  </conditionalFormatting>
  <conditionalFormatting sqref="Y7:Y26">
    <cfRule type="cellIs" dxfId="32" priority="26" operator="equal">
      <formula>"a"</formula>
    </cfRule>
  </conditionalFormatting>
  <conditionalFormatting sqref="Y7:Y26">
    <cfRule type="containsText" dxfId="31" priority="25" operator="containsText" text="L">
      <formula>NOT(ISERROR(SEARCH("L",Y7)))</formula>
    </cfRule>
  </conditionalFormatting>
  <conditionalFormatting sqref="Y7:Y26">
    <cfRule type="containsText" dxfId="30" priority="24" operator="containsText" text="AP">
      <formula>NOT(ISERROR(SEARCH("AP",Y7)))</formula>
    </cfRule>
  </conditionalFormatting>
  <conditionalFormatting sqref="Y7:Y26">
    <cfRule type="containsText" dxfId="29" priority="23" operator="containsText" text="SL">
      <formula>NOT(ISERROR(SEARCH("SL",Y7)))</formula>
    </cfRule>
  </conditionalFormatting>
  <conditionalFormatting sqref="AF12">
    <cfRule type="containsText" dxfId="28" priority="22" operator="containsText" text="L">
      <formula>NOT(ISERROR(SEARCH("L",AF12)))</formula>
    </cfRule>
  </conditionalFormatting>
  <conditionalFormatting sqref="AF12">
    <cfRule type="containsText" dxfId="27" priority="21" operator="containsText" text="AP">
      <formula>NOT(ISERROR(SEARCH("AP",AF12)))</formula>
    </cfRule>
  </conditionalFormatting>
  <conditionalFormatting sqref="AF24:AG24">
    <cfRule type="containsText" dxfId="26" priority="20" operator="containsText" text="L">
      <formula>NOT(ISERROR(SEARCH("L",AF24)))</formula>
    </cfRule>
  </conditionalFormatting>
  <conditionalFormatting sqref="AF24:AG24">
    <cfRule type="containsText" dxfId="25" priority="19" operator="containsText" text="AP">
      <formula>NOT(ISERROR(SEARCH("AP",AF24)))</formula>
    </cfRule>
  </conditionalFormatting>
  <conditionalFormatting sqref="AF24:AG24">
    <cfRule type="containsText" dxfId="24" priority="18" operator="containsText" text="L">
      <formula>NOT(ISERROR(SEARCH("L",AF24)))</formula>
    </cfRule>
  </conditionalFormatting>
  <conditionalFormatting sqref="AF24:AG24">
    <cfRule type="containsText" dxfId="23" priority="17" operator="containsText" text="AP">
      <formula>NOT(ISERROR(SEARCH("AP",AF24)))</formula>
    </cfRule>
  </conditionalFormatting>
  <conditionalFormatting sqref="AF24:AG24">
    <cfRule type="containsText" dxfId="22" priority="16" operator="containsText" text="L">
      <formula>NOT(ISERROR(SEARCH("L",AF24)))</formula>
    </cfRule>
  </conditionalFormatting>
  <conditionalFormatting sqref="AF24:AG24">
    <cfRule type="containsText" dxfId="21" priority="15" operator="containsText" text="AP">
      <formula>NOT(ISERROR(SEARCH("AP",AF24)))</formula>
    </cfRule>
  </conditionalFormatting>
  <conditionalFormatting sqref="AF12">
    <cfRule type="containsText" dxfId="20" priority="14" operator="containsText" text="L">
      <formula>NOT(ISERROR(SEARCH("L",AF12)))</formula>
    </cfRule>
  </conditionalFormatting>
  <conditionalFormatting sqref="AF12">
    <cfRule type="containsText" dxfId="19" priority="13" operator="containsText" text="AP">
      <formula>NOT(ISERROR(SEARCH("AP",AF12)))</formula>
    </cfRule>
  </conditionalFormatting>
  <conditionalFormatting sqref="AF12">
    <cfRule type="containsText" dxfId="18" priority="12" operator="containsText" text="L">
      <formula>NOT(ISERROR(SEARCH("L",AF12)))</formula>
    </cfRule>
  </conditionalFormatting>
  <conditionalFormatting sqref="AF12">
    <cfRule type="containsText" dxfId="17" priority="11" operator="containsText" text="AP">
      <formula>NOT(ISERROR(SEARCH("AP",AF12)))</formula>
    </cfRule>
  </conditionalFormatting>
  <conditionalFormatting sqref="AF12">
    <cfRule type="containsText" dxfId="16" priority="10" operator="containsText" text="L">
      <formula>NOT(ISERROR(SEARCH("L",AF12)))</formula>
    </cfRule>
  </conditionalFormatting>
  <conditionalFormatting sqref="AF12">
    <cfRule type="containsText" dxfId="15" priority="9" operator="containsText" text="AP">
      <formula>NOT(ISERROR(SEARCH("AP",AF12)))</formula>
    </cfRule>
  </conditionalFormatting>
  <conditionalFormatting sqref="AF12">
    <cfRule type="containsText" dxfId="14" priority="8" operator="containsText" text="L">
      <formula>NOT(ISERROR(SEARCH("L",AF12)))</formula>
    </cfRule>
  </conditionalFormatting>
  <conditionalFormatting sqref="AF12">
    <cfRule type="containsText" dxfId="13" priority="7" operator="containsText" text="AP">
      <formula>NOT(ISERROR(SEARCH("AP",AF12)))</formula>
    </cfRule>
  </conditionalFormatting>
  <conditionalFormatting sqref="AG16">
    <cfRule type="containsText" dxfId="12" priority="6" operator="containsText" text="L">
      <formula>NOT(ISERROR(SEARCH("L",AG16)))</formula>
    </cfRule>
  </conditionalFormatting>
  <conditionalFormatting sqref="AG16">
    <cfRule type="containsText" dxfId="11" priority="5" operator="containsText" text="AP">
      <formula>NOT(ISERROR(SEARCH("AP",AG16)))</formula>
    </cfRule>
  </conditionalFormatting>
  <conditionalFormatting sqref="AE24">
    <cfRule type="containsText" dxfId="10" priority="4" operator="containsText" text="L">
      <formula>NOT(ISERROR(SEARCH("L",AE24)))</formula>
    </cfRule>
  </conditionalFormatting>
  <conditionalFormatting sqref="AE24">
    <cfRule type="containsText" dxfId="9" priority="3" operator="containsText" text="AP">
      <formula>NOT(ISERROR(SEARCH("AP",AE24)))</formula>
    </cfRule>
  </conditionalFormatting>
  <conditionalFormatting sqref="AE12">
    <cfRule type="containsText" dxfId="8" priority="2" operator="containsText" text="L">
      <formula>NOT(ISERROR(SEARCH("L",AE12)))</formula>
    </cfRule>
  </conditionalFormatting>
  <conditionalFormatting sqref="AE12">
    <cfRule type="containsText" dxfId="7" priority="1" operator="containsText" text="AP">
      <formula>NOT(ISERROR(SEARCH("AP",AE12)))</formula>
    </cfRule>
  </conditionalFormatting>
  <dataValidations count="3">
    <dataValidation type="list" allowBlank="1" showInputMessage="1" showErrorMessage="1" sqref="M1:Q1" xr:uid="{B4E94B7F-36E0-488E-B8AE-7DB9971764A4}">
      <formula1>Months</formula1>
    </dataValidation>
    <dataValidation type="list" allowBlank="1" showInputMessage="1" showErrorMessage="1" sqref="R1:T1" xr:uid="{56FC0198-340D-4684-B73E-8A88FD4919C1}">
      <formula1>"2024,2025,2026"</formula1>
    </dataValidation>
    <dataValidation type="custom" allowBlank="1" showInputMessage="1" showErrorMessage="1" sqref="X7:AC26 W7:W18 C7:G26 Q12:V26 H7:I18 J7:O26 P7:P18 T11:U11 U7:U10 Q10:S11 Q7:T9 V7:V11 AD7:AD18 AE7:AE23 AF7:AG26" xr:uid="{8C5F33F8-D50B-48B4-946F-0C0412826798}">
      <formula1>C$6&lt;&gt;""</formula1>
    </dataValidation>
  </dataValidations>
  <pageMargins left="0.7" right="0.7" top="0.75" bottom="0.75" header="0.3" footer="0.3"/>
  <pageSetup fitToWidth="0" orientation="landscape"/>
  <colBreaks count="1" manualBreakCount="1">
    <brk id="16" max="1048575" man="1"/>
  </col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A4F46-ACE1-472D-B036-BF9BEBE4BAC1}">
  <sheetPr codeName="Sheet3"/>
  <dimension ref="A1:AN29"/>
  <sheetViews>
    <sheetView topLeftCell="A3" zoomScale="90" zoomScaleNormal="90" workbookViewId="0">
      <selection activeCell="A12" sqref="A12"/>
    </sheetView>
  </sheetViews>
  <sheetFormatPr defaultRowHeight="14.45"/>
  <cols>
    <col min="1" max="1" width="4.7109375" customWidth="1"/>
    <col min="2" max="2" width="34.28515625" customWidth="1"/>
    <col min="3" max="5" width="3.85546875" customWidth="1"/>
    <col min="6" max="6" width="5" customWidth="1"/>
    <col min="7" max="9" width="3.85546875" customWidth="1"/>
    <col min="10" max="10" width="4" bestFit="1" customWidth="1"/>
    <col min="11" max="11" width="9.7109375" bestFit="1" customWidth="1"/>
    <col min="12" max="12" width="3.85546875" customWidth="1"/>
    <col min="13" max="13" width="5" bestFit="1" customWidth="1"/>
    <col min="14" max="16" width="3.85546875" customWidth="1"/>
    <col min="17" max="17" width="7.42578125" customWidth="1"/>
    <col min="18" max="20" width="7.5703125" customWidth="1"/>
    <col min="21" max="21" width="5" customWidth="1"/>
    <col min="22" max="33" width="3.85546875" customWidth="1"/>
    <col min="34" max="39" width="7.85546875" customWidth="1"/>
    <col min="40" max="40" width="3.5703125" customWidth="1"/>
  </cols>
  <sheetData>
    <row r="1" spans="1:40" ht="58.5" customHeight="1">
      <c r="A1" s="42" t="s">
        <v>34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2" t="s">
        <v>12</v>
      </c>
      <c r="N1" s="43"/>
      <c r="O1" s="43"/>
      <c r="P1" s="43"/>
      <c r="Q1" s="43"/>
      <c r="R1" s="44">
        <v>46221</v>
      </c>
      <c r="S1" s="44"/>
      <c r="T1" s="44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7"/>
    </row>
    <row r="2" spans="1:40">
      <c r="A2" s="25"/>
      <c r="B2" s="45"/>
      <c r="D2" s="26" t="s">
        <v>35</v>
      </c>
      <c r="F2" s="47">
        <f>DATEVALUE("1"&amp;M1)</f>
        <v>46054</v>
      </c>
      <c r="G2" s="47"/>
      <c r="H2" s="47"/>
      <c r="I2" s="45"/>
      <c r="J2" s="45"/>
      <c r="K2" t="s">
        <v>36</v>
      </c>
      <c r="N2" s="47">
        <f>EOMONTH(F2,0)</f>
        <v>46081</v>
      </c>
      <c r="O2" s="47"/>
      <c r="P2" s="47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7"/>
    </row>
    <row r="3" spans="1:40">
      <c r="A3" s="2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7"/>
    </row>
    <row r="4" spans="1:40">
      <c r="A4" s="25"/>
      <c r="B4" s="46"/>
      <c r="C4">
        <f t="shared" ref="C4:AG4" si="0">IFERROR(IF(C6="",1,MATCH(C6,Holidayss,0)),0)</f>
        <v>0</v>
      </c>
      <c r="D4">
        <f t="shared" si="0"/>
        <v>0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1</v>
      </c>
      <c r="AF4">
        <f t="shared" si="0"/>
        <v>1</v>
      </c>
      <c r="AG4">
        <f t="shared" si="0"/>
        <v>1</v>
      </c>
      <c r="AN4" s="7"/>
    </row>
    <row r="5" spans="1:40" ht="14.45" customHeight="1">
      <c r="A5" s="38" t="s">
        <v>37</v>
      </c>
      <c r="B5" s="40" t="s">
        <v>38</v>
      </c>
      <c r="C5" s="1" t="str">
        <f>TEXT(C6,"ddd")</f>
        <v>Sun</v>
      </c>
      <c r="D5" s="1" t="str">
        <f t="shared" ref="D5:AG5" si="1">TEXT(D6,"ddd")</f>
        <v>Mon</v>
      </c>
      <c r="E5" s="1" t="str">
        <f t="shared" si="1"/>
        <v>Tue</v>
      </c>
      <c r="F5" s="1" t="str">
        <f t="shared" si="1"/>
        <v>Wed</v>
      </c>
      <c r="G5" s="1" t="str">
        <f t="shared" si="1"/>
        <v>Thu</v>
      </c>
      <c r="H5" s="1" t="str">
        <f t="shared" si="1"/>
        <v>Fri</v>
      </c>
      <c r="I5" s="1" t="str">
        <f t="shared" si="1"/>
        <v>Sat</v>
      </c>
      <c r="J5" s="1" t="str">
        <f t="shared" si="1"/>
        <v>Sun</v>
      </c>
      <c r="K5" s="1" t="str">
        <f t="shared" si="1"/>
        <v>Mon</v>
      </c>
      <c r="L5" s="1" t="str">
        <f t="shared" si="1"/>
        <v>Tue</v>
      </c>
      <c r="M5" s="1" t="str">
        <f t="shared" si="1"/>
        <v>Wed</v>
      </c>
      <c r="N5" s="1" t="str">
        <f t="shared" si="1"/>
        <v>Thu</v>
      </c>
      <c r="O5" s="1" t="str">
        <f t="shared" si="1"/>
        <v>Fri</v>
      </c>
      <c r="P5" s="1" t="str">
        <f t="shared" si="1"/>
        <v>Sat</v>
      </c>
      <c r="Q5" s="1" t="str">
        <f t="shared" si="1"/>
        <v>Sun</v>
      </c>
      <c r="R5" s="1" t="str">
        <f t="shared" si="1"/>
        <v>Mon</v>
      </c>
      <c r="S5" s="1" t="str">
        <f t="shared" si="1"/>
        <v>Tue</v>
      </c>
      <c r="T5" s="1" t="str">
        <f t="shared" si="1"/>
        <v>Wed</v>
      </c>
      <c r="U5" s="1" t="str">
        <f t="shared" si="1"/>
        <v>Thu</v>
      </c>
      <c r="V5" s="1" t="str">
        <f t="shared" si="1"/>
        <v>Fri</v>
      </c>
      <c r="W5" s="1" t="str">
        <f t="shared" si="1"/>
        <v>Sat</v>
      </c>
      <c r="X5" s="1" t="str">
        <f t="shared" si="1"/>
        <v>Sun</v>
      </c>
      <c r="Y5" s="1" t="str">
        <f t="shared" si="1"/>
        <v>Mon</v>
      </c>
      <c r="Z5" s="1" t="str">
        <f t="shared" si="1"/>
        <v>Tue</v>
      </c>
      <c r="AA5" s="1" t="str">
        <f t="shared" si="1"/>
        <v>Wed</v>
      </c>
      <c r="AB5" s="1" t="str">
        <f t="shared" si="1"/>
        <v>Thu</v>
      </c>
      <c r="AC5" s="1" t="str">
        <f t="shared" si="1"/>
        <v>Fri</v>
      </c>
      <c r="AD5" s="1" t="str">
        <f t="shared" si="1"/>
        <v>Sat</v>
      </c>
      <c r="AE5" s="1" t="str">
        <f t="shared" si="1"/>
        <v/>
      </c>
      <c r="AF5" s="1" t="str">
        <f t="shared" si="1"/>
        <v/>
      </c>
      <c r="AG5" s="1" t="str">
        <f t="shared" si="1"/>
        <v/>
      </c>
      <c r="AH5" s="37" t="s">
        <v>39</v>
      </c>
      <c r="AI5" s="37" t="s">
        <v>40</v>
      </c>
      <c r="AJ5" s="37" t="s">
        <v>41</v>
      </c>
      <c r="AK5" s="37" t="s">
        <v>42</v>
      </c>
      <c r="AL5" s="37" t="s">
        <v>43</v>
      </c>
      <c r="AM5" s="37" t="s">
        <v>44</v>
      </c>
      <c r="AN5" s="7"/>
    </row>
    <row r="6" spans="1:40" ht="14.45" customHeight="1">
      <c r="A6" s="39"/>
      <c r="B6" s="41"/>
      <c r="C6" s="2">
        <f>F2</f>
        <v>46054</v>
      </c>
      <c r="D6" s="2">
        <f t="shared" ref="D6:AG6" si="2">IF(C6&lt;$N$2,C6+1,"")</f>
        <v>46055</v>
      </c>
      <c r="E6" s="2">
        <f t="shared" si="2"/>
        <v>46056</v>
      </c>
      <c r="F6" s="2">
        <f t="shared" si="2"/>
        <v>46057</v>
      </c>
      <c r="G6" s="2">
        <f t="shared" si="2"/>
        <v>46058</v>
      </c>
      <c r="H6" s="2">
        <f t="shared" si="2"/>
        <v>46059</v>
      </c>
      <c r="I6" s="2">
        <f t="shared" si="2"/>
        <v>46060</v>
      </c>
      <c r="J6" s="2">
        <f t="shared" si="2"/>
        <v>46061</v>
      </c>
      <c r="K6" s="2">
        <f t="shared" si="2"/>
        <v>46062</v>
      </c>
      <c r="L6" s="2">
        <f t="shared" si="2"/>
        <v>46063</v>
      </c>
      <c r="M6" s="2">
        <f t="shared" si="2"/>
        <v>46064</v>
      </c>
      <c r="N6" s="2">
        <f t="shared" si="2"/>
        <v>46065</v>
      </c>
      <c r="O6" s="2">
        <f t="shared" si="2"/>
        <v>46066</v>
      </c>
      <c r="P6" s="2">
        <f t="shared" si="2"/>
        <v>46067</v>
      </c>
      <c r="Q6" s="2">
        <f t="shared" si="2"/>
        <v>46068</v>
      </c>
      <c r="R6" s="2">
        <f t="shared" si="2"/>
        <v>46069</v>
      </c>
      <c r="S6" s="2">
        <f t="shared" si="2"/>
        <v>46070</v>
      </c>
      <c r="T6" s="2">
        <f t="shared" si="2"/>
        <v>46071</v>
      </c>
      <c r="U6" s="2">
        <f t="shared" si="2"/>
        <v>46072</v>
      </c>
      <c r="V6" s="2">
        <f t="shared" si="2"/>
        <v>46073</v>
      </c>
      <c r="W6" s="2">
        <f t="shared" si="2"/>
        <v>46074</v>
      </c>
      <c r="X6" s="2">
        <f t="shared" si="2"/>
        <v>46075</v>
      </c>
      <c r="Y6" s="2">
        <f t="shared" si="2"/>
        <v>46076</v>
      </c>
      <c r="Z6" s="2">
        <f t="shared" si="2"/>
        <v>46077</v>
      </c>
      <c r="AA6" s="2">
        <f t="shared" si="2"/>
        <v>46078</v>
      </c>
      <c r="AB6" s="2">
        <f t="shared" si="2"/>
        <v>46079</v>
      </c>
      <c r="AC6" s="2">
        <f t="shared" si="2"/>
        <v>46080</v>
      </c>
      <c r="AD6" s="2">
        <f t="shared" si="2"/>
        <v>46081</v>
      </c>
      <c r="AE6" s="2" t="str">
        <f t="shared" si="2"/>
        <v/>
      </c>
      <c r="AF6" s="2" t="str">
        <f t="shared" si="2"/>
        <v/>
      </c>
      <c r="AG6" s="2" t="str">
        <f t="shared" si="2"/>
        <v/>
      </c>
      <c r="AH6" s="37"/>
      <c r="AI6" s="37"/>
      <c r="AJ6" s="37"/>
      <c r="AK6" s="37"/>
      <c r="AL6" s="37"/>
      <c r="AM6" s="37"/>
      <c r="AN6" s="7"/>
    </row>
    <row r="7" spans="1:40">
      <c r="A7" s="5">
        <v>1</v>
      </c>
      <c r="B7" s="10" t="s">
        <v>45</v>
      </c>
      <c r="C7" s="9" t="s">
        <v>46</v>
      </c>
      <c r="D7" s="24" t="s">
        <v>46</v>
      </c>
      <c r="E7" s="24" t="s">
        <v>46</v>
      </c>
      <c r="F7" s="24" t="s">
        <v>46</v>
      </c>
      <c r="G7" s="24" t="s">
        <v>46</v>
      </c>
      <c r="H7" s="19"/>
      <c r="I7" s="9"/>
      <c r="J7" s="9" t="s">
        <v>46</v>
      </c>
      <c r="K7" s="9" t="s">
        <v>46</v>
      </c>
      <c r="L7" s="9" t="s">
        <v>46</v>
      </c>
      <c r="M7" s="9" t="s">
        <v>46</v>
      </c>
      <c r="N7" s="9" t="s">
        <v>68</v>
      </c>
      <c r="O7" s="3" t="s">
        <v>46</v>
      </c>
      <c r="P7" s="3"/>
      <c r="Q7" s="9" t="s">
        <v>46</v>
      </c>
      <c r="R7" s="9" t="s">
        <v>46</v>
      </c>
      <c r="S7" s="9" t="s">
        <v>46</v>
      </c>
      <c r="T7" s="3" t="s">
        <v>46</v>
      </c>
      <c r="U7" s="9" t="s">
        <v>68</v>
      </c>
      <c r="V7" s="3" t="s">
        <v>46</v>
      </c>
      <c r="W7" s="3"/>
      <c r="X7" s="3" t="s">
        <v>46</v>
      </c>
      <c r="Y7" s="3" t="s">
        <v>46</v>
      </c>
      <c r="Z7" s="3" t="s">
        <v>46</v>
      </c>
      <c r="AA7" s="3" t="s">
        <v>46</v>
      </c>
      <c r="AB7" s="3" t="s">
        <v>46</v>
      </c>
      <c r="AC7" s="3" t="s">
        <v>46</v>
      </c>
      <c r="AD7" s="3"/>
      <c r="AE7" s="3"/>
      <c r="AF7" s="3"/>
      <c r="AG7" s="3"/>
      <c r="AH7" s="3" cm="1">
        <f t="array" ref="AH7">SUMPRODUCT((C7:AG7="P")*($C$5:$AG$5&lt;&gt;"Fri")*($C$5:$AG$5&lt;&gt;"Sat")*($C$4:$AG$4=0))</f>
        <v>18</v>
      </c>
      <c r="AI7" s="3" cm="1">
        <f t="array" ref="AI7">SUMPRODUCT((C7:AG7="A")*($C$5:$AG$5&lt;&gt;"Fri")*($C$5:$AG$5&lt;&gt;"Sat")*($C$4:$AG$4=0))</f>
        <v>0</v>
      </c>
      <c r="AJ7" s="3" cm="1">
        <f t="array" ref="AJ7">SUMPRODUCT((C7:AG7="H")*($C$5:$AG$5&lt;&gt;"Fri")*($C$5:$AG$5&lt;&gt;"Sat")*($C$4:$AG$4=0))</f>
        <v>0</v>
      </c>
      <c r="AK7" s="3" cm="1">
        <f t="array" ref="AK7">SUMPRODUCT(($C$5:$AG$5&lt;&gt;"Fri")*($C$5:$AG$5&lt;&gt;"Sat")*($C$4:$AG$4=0))</f>
        <v>20</v>
      </c>
      <c r="AL7" s="4">
        <f>(AH7+AJ7*0.5)/AK7</f>
        <v>0.9</v>
      </c>
      <c r="AM7" s="4">
        <f>(AI7/AK7)</f>
        <v>0</v>
      </c>
      <c r="AN7" s="7"/>
    </row>
    <row r="8" spans="1:40" ht="14.45" customHeight="1">
      <c r="A8" s="5">
        <v>2</v>
      </c>
      <c r="B8" s="11" t="s">
        <v>47</v>
      </c>
      <c r="C8" s="9" t="s">
        <v>46</v>
      </c>
      <c r="D8" s="24" t="s">
        <v>46</v>
      </c>
      <c r="E8" s="24" t="s">
        <v>46</v>
      </c>
      <c r="F8" s="24" t="s">
        <v>46</v>
      </c>
      <c r="G8" s="24" t="s">
        <v>46</v>
      </c>
      <c r="H8" s="19"/>
      <c r="I8" s="9"/>
      <c r="J8" s="9" t="s">
        <v>46</v>
      </c>
      <c r="K8" s="9" t="s">
        <v>46</v>
      </c>
      <c r="L8" s="9" t="s">
        <v>46</v>
      </c>
      <c r="M8" s="9" t="s">
        <v>46</v>
      </c>
      <c r="N8" s="9" t="s">
        <v>68</v>
      </c>
      <c r="O8" s="3" t="s">
        <v>46</v>
      </c>
      <c r="P8" s="3"/>
      <c r="Q8" s="9" t="s">
        <v>46</v>
      </c>
      <c r="R8" s="9" t="s">
        <v>46</v>
      </c>
      <c r="S8" s="9" t="s">
        <v>46</v>
      </c>
      <c r="T8" s="3" t="s">
        <v>46</v>
      </c>
      <c r="U8" s="9" t="s">
        <v>68</v>
      </c>
      <c r="V8" s="3" t="s">
        <v>46</v>
      </c>
      <c r="W8" s="3"/>
      <c r="X8" s="3" t="s">
        <v>46</v>
      </c>
      <c r="Y8" s="3" t="s">
        <v>46</v>
      </c>
      <c r="Z8" s="3" t="s">
        <v>46</v>
      </c>
      <c r="AA8" s="3" t="s">
        <v>46</v>
      </c>
      <c r="AB8" s="3" t="s">
        <v>46</v>
      </c>
      <c r="AC8" s="3" t="s">
        <v>46</v>
      </c>
      <c r="AD8" s="3"/>
      <c r="AE8" s="3"/>
      <c r="AF8" s="3"/>
      <c r="AG8" s="3"/>
      <c r="AH8" s="3" cm="1">
        <f t="array" ref="AH8">SUMPRODUCT((C8:AG8="P")*($C$5:$AG$5&lt;&gt;"Fri")*($C$5:$AG$5&lt;&gt;"Sat")*($C$4:$AG$4=0))</f>
        <v>18</v>
      </c>
      <c r="AI8" s="3" cm="1">
        <f t="array" ref="AI8">SUMPRODUCT((C8:AG8="A")*($C$5:$AG$5&lt;&gt;"Fri")*($C$5:$AG$5&lt;&gt;"Sat")*($C$4:$AG$4=0))</f>
        <v>0</v>
      </c>
      <c r="AJ8" s="3" cm="1">
        <f t="array" ref="AJ8">SUMPRODUCT((C8:AG8="H")*($C$5:$AG$5&lt;&gt;"Fri")*($C$5:$AG$5&lt;&gt;"Sat")*($C$4:$AG$4=0))</f>
        <v>0</v>
      </c>
      <c r="AK8" s="3" cm="1">
        <f t="array" ref="AK8">SUMPRODUCT(($C$5:$AG$5&lt;&gt;"Fri")*($C$5:$AG$5&lt;&gt;"Sat")*($C$4:$AG$4=0))</f>
        <v>20</v>
      </c>
      <c r="AL8" s="4">
        <f t="shared" ref="AL8:AL26" si="3">(AH8+AJ8*0.5)/AK8</f>
        <v>0.9</v>
      </c>
      <c r="AM8" s="4">
        <f t="shared" ref="AM8:AM26" si="4">(AI8/AK8)</f>
        <v>0</v>
      </c>
      <c r="AN8" s="7"/>
    </row>
    <row r="9" spans="1:40">
      <c r="A9" s="5">
        <v>3</v>
      </c>
      <c r="B9" s="10" t="s">
        <v>48</v>
      </c>
      <c r="C9" s="9" t="s">
        <v>46</v>
      </c>
      <c r="D9" s="24" t="s">
        <v>46</v>
      </c>
      <c r="E9" s="24" t="s">
        <v>70</v>
      </c>
      <c r="F9" s="24" t="s">
        <v>70</v>
      </c>
      <c r="G9" s="24" t="s">
        <v>70</v>
      </c>
      <c r="H9" s="19"/>
      <c r="I9" s="9"/>
      <c r="J9" s="9" t="s">
        <v>70</v>
      </c>
      <c r="K9" s="9" t="s">
        <v>46</v>
      </c>
      <c r="L9" s="9" t="s">
        <v>46</v>
      </c>
      <c r="M9" s="9" t="s">
        <v>46</v>
      </c>
      <c r="N9" s="9" t="s">
        <v>68</v>
      </c>
      <c r="O9" s="3" t="s">
        <v>46</v>
      </c>
      <c r="P9" s="3"/>
      <c r="Q9" s="9" t="s">
        <v>46</v>
      </c>
      <c r="R9" s="9" t="s">
        <v>46</v>
      </c>
      <c r="S9" s="9" t="s">
        <v>46</v>
      </c>
      <c r="T9" s="3" t="s">
        <v>46</v>
      </c>
      <c r="U9" s="9" t="s">
        <v>68</v>
      </c>
      <c r="V9" s="3" t="s">
        <v>46</v>
      </c>
      <c r="W9" s="3"/>
      <c r="X9" s="3" t="s">
        <v>46</v>
      </c>
      <c r="Y9" s="3" t="s">
        <v>46</v>
      </c>
      <c r="Z9" s="3" t="s">
        <v>46</v>
      </c>
      <c r="AA9" s="3" t="s">
        <v>46</v>
      </c>
      <c r="AB9" s="3" t="s">
        <v>46</v>
      </c>
      <c r="AC9" s="3" t="s">
        <v>46</v>
      </c>
      <c r="AD9" s="3"/>
      <c r="AE9" s="3"/>
      <c r="AF9" s="3"/>
      <c r="AG9" s="3"/>
      <c r="AH9" s="3" cm="1">
        <f t="array" ref="AH9">SUMPRODUCT((C9:AG9="P")*($C$5:$AG$5&lt;&gt;"Fri")*($C$5:$AG$5&lt;&gt;"Sat")*($C$4:$AG$4=0))</f>
        <v>14</v>
      </c>
      <c r="AI9" s="3" cm="1">
        <f t="array" ref="AI9">SUMPRODUCT((C9:AG9="A")*($C$5:$AG$5&lt;&gt;"Fri")*($C$5:$AG$5&lt;&gt;"Sat")*($C$4:$AG$4=0))</f>
        <v>0</v>
      </c>
      <c r="AJ9" s="3" cm="1">
        <f t="array" ref="AJ9">SUMPRODUCT((C9:AG9="H")*($C$5:$AG$5&lt;&gt;"Fri")*($C$5:$AG$5&lt;&gt;"Sat")*($C$4:$AG$4=0))</f>
        <v>0</v>
      </c>
      <c r="AK9" s="3" cm="1">
        <f t="array" ref="AK9">SUMPRODUCT(($C$5:$AG$5&lt;&gt;"Fri")*($C$5:$AG$5&lt;&gt;"Sat")*($C$4:$AG$4=0))</f>
        <v>20</v>
      </c>
      <c r="AL9" s="4">
        <f t="shared" si="3"/>
        <v>0.7</v>
      </c>
      <c r="AM9" s="4">
        <f t="shared" si="4"/>
        <v>0</v>
      </c>
      <c r="AN9" s="7"/>
    </row>
    <row r="10" spans="1:40">
      <c r="A10" s="5">
        <v>4</v>
      </c>
      <c r="B10" s="10" t="s">
        <v>49</v>
      </c>
      <c r="C10" s="9" t="s">
        <v>46</v>
      </c>
      <c r="D10" s="24" t="s">
        <v>46</v>
      </c>
      <c r="E10" s="24" t="s">
        <v>46</v>
      </c>
      <c r="F10" s="24" t="s">
        <v>46</v>
      </c>
      <c r="G10" s="24" t="s">
        <v>46</v>
      </c>
      <c r="H10" s="19"/>
      <c r="I10" s="9"/>
      <c r="J10" s="9" t="s">
        <v>46</v>
      </c>
      <c r="K10" s="9" t="s">
        <v>46</v>
      </c>
      <c r="L10" s="9" t="s">
        <v>46</v>
      </c>
      <c r="M10" s="9" t="s">
        <v>46</v>
      </c>
      <c r="N10" s="9" t="s">
        <v>68</v>
      </c>
      <c r="O10" s="3" t="s">
        <v>46</v>
      </c>
      <c r="P10" s="3"/>
      <c r="Q10" s="9" t="s">
        <v>46</v>
      </c>
      <c r="R10" s="9" t="s">
        <v>46</v>
      </c>
      <c r="S10" s="9" t="s">
        <v>46</v>
      </c>
      <c r="T10" s="3" t="s">
        <v>46</v>
      </c>
      <c r="U10" s="9" t="s">
        <v>68</v>
      </c>
      <c r="V10" s="3" t="s">
        <v>46</v>
      </c>
      <c r="W10" s="3"/>
      <c r="X10" s="3" t="s">
        <v>46</v>
      </c>
      <c r="Y10" s="3" t="s">
        <v>46</v>
      </c>
      <c r="Z10" s="3" t="s">
        <v>70</v>
      </c>
      <c r="AA10" s="3" t="s">
        <v>70</v>
      </c>
      <c r="AB10" s="3" t="s">
        <v>46</v>
      </c>
      <c r="AC10" s="3" t="s">
        <v>46</v>
      </c>
      <c r="AD10" s="3"/>
      <c r="AE10" s="3"/>
      <c r="AF10" s="3"/>
      <c r="AG10" s="3"/>
      <c r="AH10" s="3" cm="1">
        <f t="array" ref="AH10">SUMPRODUCT((C10:AG10="P")*($C$5:$AG$5&lt;&gt;"Fri")*($C$5:$AG$5&lt;&gt;"Sat")*($C$4:$AG$4=0))</f>
        <v>16</v>
      </c>
      <c r="AI10" s="3" cm="1">
        <f t="array" ref="AI10">SUMPRODUCT((C10:AG10="A")*($C$5:$AG$5&lt;&gt;"Fri")*($C$5:$AG$5&lt;&gt;"Sat")*($C$4:$AG$4=0))</f>
        <v>0</v>
      </c>
      <c r="AJ10" s="3" cm="1">
        <f t="array" ref="AJ10">SUMPRODUCT((C10:AG10="H")*($C$5:$AG$5&lt;&gt;"Fri")*($C$5:$AG$5&lt;&gt;"Sat")*($C$4:$AG$4=0))</f>
        <v>0</v>
      </c>
      <c r="AK10" s="3" cm="1">
        <f t="array" ref="AK10">SUMPRODUCT(($C$5:$AG$5&lt;&gt;"Fri")*($C$5:$AG$5&lt;&gt;"Sat")*($C$4:$AG$4=0))</f>
        <v>20</v>
      </c>
      <c r="AL10" s="4">
        <f t="shared" si="3"/>
        <v>0.8</v>
      </c>
      <c r="AM10" s="4">
        <f t="shared" si="4"/>
        <v>0</v>
      </c>
      <c r="AN10" s="7"/>
    </row>
    <row r="11" spans="1:40">
      <c r="A11" s="5">
        <v>5</v>
      </c>
      <c r="B11" s="10" t="s">
        <v>50</v>
      </c>
      <c r="C11" s="9" t="s">
        <v>46</v>
      </c>
      <c r="D11" s="24" t="s">
        <v>46</v>
      </c>
      <c r="E11" s="24" t="s">
        <v>46</v>
      </c>
      <c r="F11" s="24" t="s">
        <v>46</v>
      </c>
      <c r="G11" s="24" t="s">
        <v>46</v>
      </c>
      <c r="H11" s="19"/>
      <c r="I11" s="9"/>
      <c r="J11" s="9" t="s">
        <v>46</v>
      </c>
      <c r="K11" s="9" t="s">
        <v>46</v>
      </c>
      <c r="L11" s="9" t="s">
        <v>46</v>
      </c>
      <c r="M11" s="9" t="s">
        <v>46</v>
      </c>
      <c r="N11" s="9" t="s">
        <v>68</v>
      </c>
      <c r="O11" s="3" t="s">
        <v>46</v>
      </c>
      <c r="P11" s="3"/>
      <c r="Q11" s="9" t="s">
        <v>46</v>
      </c>
      <c r="R11" s="9" t="s">
        <v>46</v>
      </c>
      <c r="S11" s="9" t="s">
        <v>46</v>
      </c>
      <c r="T11" s="3" t="s">
        <v>46</v>
      </c>
      <c r="U11" s="9" t="s">
        <v>68</v>
      </c>
      <c r="V11" s="3" t="s">
        <v>46</v>
      </c>
      <c r="W11" s="3"/>
      <c r="X11" s="3" t="s">
        <v>46</v>
      </c>
      <c r="Y11" s="3" t="s">
        <v>46</v>
      </c>
      <c r="Z11" s="3" t="s">
        <v>46</v>
      </c>
      <c r="AA11" s="3" t="s">
        <v>46</v>
      </c>
      <c r="AB11" s="3" t="s">
        <v>46</v>
      </c>
      <c r="AC11" s="3" t="s">
        <v>46</v>
      </c>
      <c r="AD11" s="3"/>
      <c r="AE11" s="3"/>
      <c r="AF11" s="3"/>
      <c r="AG11" s="3"/>
      <c r="AH11" s="3" cm="1">
        <f t="array" ref="AH11">SUMPRODUCT((C11:AG11="P")*($C$5:$AG$5&lt;&gt;"Fri")*($C$5:$AG$5&lt;&gt;"Sat")*($C$4:$AG$4=0))</f>
        <v>18</v>
      </c>
      <c r="AI11" s="3" cm="1">
        <f t="array" ref="AI11">SUMPRODUCT((C11:AG11="A")*($C$5:$AG$5&lt;&gt;"Fri")*($C$5:$AG$5&lt;&gt;"Sat")*($C$4:$AG$4=0))</f>
        <v>0</v>
      </c>
      <c r="AJ11" s="3" cm="1">
        <f t="array" ref="AJ11">SUMPRODUCT((C11:AG11="H")*($C$5:$AG$5&lt;&gt;"Fri")*($C$5:$AG$5&lt;&gt;"Sat")*($C$4:$AG$4=0))</f>
        <v>0</v>
      </c>
      <c r="AK11" s="3" cm="1">
        <f t="array" ref="AK11">SUMPRODUCT(($C$5:$AG$5&lt;&gt;"Fri")*($C$5:$AG$5&lt;&gt;"Sat")*($C$4:$AG$4=0))</f>
        <v>20</v>
      </c>
      <c r="AL11" s="4">
        <f t="shared" si="3"/>
        <v>0.9</v>
      </c>
      <c r="AM11" s="4">
        <f t="shared" si="4"/>
        <v>0</v>
      </c>
      <c r="AN11" s="7"/>
    </row>
    <row r="12" spans="1:40">
      <c r="A12" s="5">
        <v>6</v>
      </c>
      <c r="B12" s="10" t="s">
        <v>51</v>
      </c>
      <c r="C12" s="9" t="s">
        <v>46</v>
      </c>
      <c r="D12" s="24" t="s">
        <v>46</v>
      </c>
      <c r="E12" s="24" t="s">
        <v>46</v>
      </c>
      <c r="F12" s="24" t="s">
        <v>46</v>
      </c>
      <c r="G12" s="24" t="s">
        <v>46</v>
      </c>
      <c r="H12" s="19"/>
      <c r="I12" s="9"/>
      <c r="J12" s="9" t="s">
        <v>46</v>
      </c>
      <c r="K12" s="9" t="s">
        <v>46</v>
      </c>
      <c r="L12" s="9" t="s">
        <v>46</v>
      </c>
      <c r="M12" s="9" t="s">
        <v>46</v>
      </c>
      <c r="N12" s="9" t="s">
        <v>68</v>
      </c>
      <c r="O12" s="3" t="s">
        <v>46</v>
      </c>
      <c r="P12" s="3"/>
      <c r="Q12" s="9" t="s">
        <v>46</v>
      </c>
      <c r="R12" s="9" t="s">
        <v>46</v>
      </c>
      <c r="S12" s="9" t="s">
        <v>46</v>
      </c>
      <c r="T12" s="3" t="s">
        <v>46</v>
      </c>
      <c r="U12" s="9" t="s">
        <v>68</v>
      </c>
      <c r="V12" s="3" t="s">
        <v>46</v>
      </c>
      <c r="W12" s="3"/>
      <c r="X12" s="3" t="s">
        <v>46</v>
      </c>
      <c r="Y12" s="3" t="s">
        <v>46</v>
      </c>
      <c r="Z12" s="3" t="s">
        <v>46</v>
      </c>
      <c r="AA12" s="3" t="s">
        <v>70</v>
      </c>
      <c r="AB12" s="3" t="s">
        <v>46</v>
      </c>
      <c r="AC12" s="3" t="s">
        <v>46</v>
      </c>
      <c r="AD12" s="3"/>
      <c r="AE12" s="3"/>
      <c r="AF12" s="3"/>
      <c r="AG12" s="3"/>
      <c r="AH12" s="3" cm="1">
        <f t="array" ref="AH12">SUMPRODUCT((C12:AG12="P")*($C$5:$AG$5&lt;&gt;"Fri")*($C$5:$AG$5&lt;&gt;"Sat")*($C$4:$AG$4=0))</f>
        <v>17</v>
      </c>
      <c r="AI12" s="3" cm="1">
        <f t="array" ref="AI12">SUMPRODUCT((C12:AG12="A")*($C$5:$AG$5&lt;&gt;"Fri")*($C$5:$AG$5&lt;&gt;"Sat")*($C$4:$AG$4=0))</f>
        <v>0</v>
      </c>
      <c r="AJ12" s="3" cm="1">
        <f t="array" ref="AJ12">SUMPRODUCT((C12:AG12="H")*($C$5:$AG$5&lt;&gt;"Fri")*($C$5:$AG$5&lt;&gt;"Sat")*($C$4:$AG$4=0))</f>
        <v>0</v>
      </c>
      <c r="AK12" s="3" cm="1">
        <f t="array" ref="AK12">SUMPRODUCT(($C$5:$AG$5&lt;&gt;"Fri")*($C$5:$AG$5&lt;&gt;"Sat")*($C$4:$AG$4=0))</f>
        <v>20</v>
      </c>
      <c r="AL12" s="4">
        <f t="shared" si="3"/>
        <v>0.85</v>
      </c>
      <c r="AM12" s="4">
        <f t="shared" si="4"/>
        <v>0</v>
      </c>
      <c r="AN12" s="7"/>
    </row>
    <row r="13" spans="1:40">
      <c r="A13" s="5">
        <v>7</v>
      </c>
      <c r="B13" s="12" t="s">
        <v>52</v>
      </c>
      <c r="C13" s="9" t="s">
        <v>46</v>
      </c>
      <c r="D13" s="24" t="s">
        <v>46</v>
      </c>
      <c r="E13" s="24" t="s">
        <v>46</v>
      </c>
      <c r="F13" s="24" t="s">
        <v>46</v>
      </c>
      <c r="G13" s="24" t="s">
        <v>46</v>
      </c>
      <c r="H13" s="19"/>
      <c r="I13" s="9"/>
      <c r="J13" s="9" t="s">
        <v>46</v>
      </c>
      <c r="K13" s="9" t="s">
        <v>46</v>
      </c>
      <c r="L13" s="9" t="s">
        <v>46</v>
      </c>
      <c r="M13" s="9" t="s">
        <v>46</v>
      </c>
      <c r="N13" s="9" t="s">
        <v>68</v>
      </c>
      <c r="O13" s="3" t="s">
        <v>46</v>
      </c>
      <c r="P13" s="3"/>
      <c r="Q13" s="9" t="s">
        <v>46</v>
      </c>
      <c r="R13" s="9" t="s">
        <v>46</v>
      </c>
      <c r="S13" s="3" t="s">
        <v>61</v>
      </c>
      <c r="T13" s="3" t="s">
        <v>46</v>
      </c>
      <c r="U13" s="9" t="s">
        <v>68</v>
      </c>
      <c r="V13" s="3" t="s">
        <v>46</v>
      </c>
      <c r="W13" s="3"/>
      <c r="X13" s="3" t="s">
        <v>46</v>
      </c>
      <c r="Y13" s="3" t="s">
        <v>46</v>
      </c>
      <c r="Z13" s="3"/>
      <c r="AA13" s="3" t="s">
        <v>46</v>
      </c>
      <c r="AB13" s="3" t="s">
        <v>46</v>
      </c>
      <c r="AC13" s="3" t="s">
        <v>46</v>
      </c>
      <c r="AD13" s="3"/>
      <c r="AE13" s="3"/>
      <c r="AF13" s="3"/>
      <c r="AG13" s="3"/>
      <c r="AH13" s="3" cm="1">
        <f t="array" ref="AH13">SUMPRODUCT((C13:AG13="P")*($C$5:$AG$5&lt;&gt;"Fri")*($C$5:$AG$5&lt;&gt;"Sat")*($C$4:$AG$4=0))</f>
        <v>16</v>
      </c>
      <c r="AI13" s="3" cm="1">
        <f t="array" ref="AI13">SUMPRODUCT((C13:AG13="A")*($C$5:$AG$5&lt;&gt;"Fri")*($C$5:$AG$5&lt;&gt;"Sat")*($C$4:$AG$4=0))</f>
        <v>0</v>
      </c>
      <c r="AJ13" s="3" cm="1">
        <f t="array" ref="AJ13">SUMPRODUCT((C13:AG13="H")*($C$5:$AG$5&lt;&gt;"Fri")*($C$5:$AG$5&lt;&gt;"Sat")*($C$4:$AG$4=0))</f>
        <v>0</v>
      </c>
      <c r="AK13" s="3" cm="1">
        <f t="array" ref="AK13">SUMPRODUCT(($C$5:$AG$5&lt;&gt;"Fri")*($C$5:$AG$5&lt;&gt;"Sat")*($C$4:$AG$4=0))</f>
        <v>20</v>
      </c>
      <c r="AL13" s="4">
        <f t="shared" si="3"/>
        <v>0.8</v>
      </c>
      <c r="AM13" s="4">
        <f t="shared" si="4"/>
        <v>0</v>
      </c>
      <c r="AN13" s="7"/>
    </row>
    <row r="14" spans="1:40">
      <c r="A14" s="5">
        <v>8</v>
      </c>
      <c r="B14" s="10" t="s">
        <v>54</v>
      </c>
      <c r="C14" s="9" t="s">
        <v>46</v>
      </c>
      <c r="D14" s="24" t="s">
        <v>46</v>
      </c>
      <c r="E14" s="24" t="s">
        <v>46</v>
      </c>
      <c r="F14" s="24" t="s">
        <v>46</v>
      </c>
      <c r="G14" s="24" t="s">
        <v>46</v>
      </c>
      <c r="H14" s="19"/>
      <c r="I14" s="9"/>
      <c r="J14" s="9" t="s">
        <v>46</v>
      </c>
      <c r="K14" s="9" t="s">
        <v>46</v>
      </c>
      <c r="L14" s="9" t="s">
        <v>46</v>
      </c>
      <c r="M14" s="9" t="s">
        <v>46</v>
      </c>
      <c r="N14" s="9" t="s">
        <v>68</v>
      </c>
      <c r="O14" s="3" t="s">
        <v>46</v>
      </c>
      <c r="P14" s="3"/>
      <c r="Q14" s="9" t="s">
        <v>46</v>
      </c>
      <c r="R14" s="9" t="s">
        <v>46</v>
      </c>
      <c r="S14" s="9" t="s">
        <v>46</v>
      </c>
      <c r="T14" s="3" t="s">
        <v>46</v>
      </c>
      <c r="U14" s="9" t="s">
        <v>68</v>
      </c>
      <c r="V14" s="3" t="s">
        <v>46</v>
      </c>
      <c r="W14" s="3"/>
      <c r="X14" s="3" t="s">
        <v>46</v>
      </c>
      <c r="Y14" s="3" t="s">
        <v>46</v>
      </c>
      <c r="Z14" s="3" t="s">
        <v>46</v>
      </c>
      <c r="AA14" s="3" t="s">
        <v>46</v>
      </c>
      <c r="AB14" s="3" t="s">
        <v>46</v>
      </c>
      <c r="AC14" s="3" t="s">
        <v>46</v>
      </c>
      <c r="AD14" s="3"/>
      <c r="AE14" s="3"/>
      <c r="AF14" s="3"/>
      <c r="AG14" s="3"/>
      <c r="AH14" s="3" cm="1">
        <f t="array" ref="AH14">SUMPRODUCT((C14:AG14="P")*($C$5:$AG$5&lt;&gt;"Fri")*($C$5:$AG$5&lt;&gt;"Sat")*($C$4:$AG$4=0))</f>
        <v>18</v>
      </c>
      <c r="AI14" s="3" cm="1">
        <f t="array" ref="AI14">SUMPRODUCT((C14:AG14="A")*($C$5:$AG$5&lt;&gt;"Fri")*($C$5:$AG$5&lt;&gt;"Sat")*($C$4:$AG$4=0))</f>
        <v>0</v>
      </c>
      <c r="AJ14" s="3" cm="1">
        <f t="array" ref="AJ14">SUMPRODUCT((C14:AG14="H")*($C$5:$AG$5&lt;&gt;"Fri")*($C$5:$AG$5&lt;&gt;"Sat")*($C$4:$AG$4=0))</f>
        <v>0</v>
      </c>
      <c r="AK14" s="3" cm="1">
        <f t="array" ref="AK14">SUMPRODUCT(($C$5:$AG$5&lt;&gt;"Fri")*($C$5:$AG$5&lt;&gt;"Sat")*($C$4:$AG$4=0))</f>
        <v>20</v>
      </c>
      <c r="AL14" s="4">
        <f t="shared" si="3"/>
        <v>0.9</v>
      </c>
      <c r="AM14" s="4">
        <f t="shared" si="4"/>
        <v>0</v>
      </c>
      <c r="AN14" s="7"/>
    </row>
    <row r="15" spans="1:40">
      <c r="A15" s="5">
        <v>9</v>
      </c>
      <c r="B15" s="10" t="s">
        <v>55</v>
      </c>
      <c r="C15" s="9" t="s">
        <v>46</v>
      </c>
      <c r="D15" s="24" t="s">
        <v>46</v>
      </c>
      <c r="E15" s="24" t="s">
        <v>61</v>
      </c>
      <c r="F15" s="24" t="s">
        <v>70</v>
      </c>
      <c r="G15" s="24" t="s">
        <v>46</v>
      </c>
      <c r="H15" s="19"/>
      <c r="I15" s="9"/>
      <c r="J15" s="9" t="s">
        <v>46</v>
      </c>
      <c r="K15" s="9" t="s">
        <v>46</v>
      </c>
      <c r="L15" s="9" t="s">
        <v>46</v>
      </c>
      <c r="M15" s="9" t="s">
        <v>46</v>
      </c>
      <c r="N15" s="9" t="s">
        <v>68</v>
      </c>
      <c r="O15" s="3" t="s">
        <v>46</v>
      </c>
      <c r="P15" s="3"/>
      <c r="Q15" s="9" t="s">
        <v>46</v>
      </c>
      <c r="R15" s="9" t="s">
        <v>46</v>
      </c>
      <c r="S15" s="9" t="s">
        <v>46</v>
      </c>
      <c r="T15" s="3" t="s">
        <v>80</v>
      </c>
      <c r="U15" s="9" t="s">
        <v>68</v>
      </c>
      <c r="V15" s="3" t="s">
        <v>46</v>
      </c>
      <c r="W15" s="3"/>
      <c r="X15" s="3" t="s">
        <v>46</v>
      </c>
      <c r="Y15" s="3" t="s">
        <v>46</v>
      </c>
      <c r="Z15" s="3" t="s">
        <v>46</v>
      </c>
      <c r="AA15" s="3" t="s">
        <v>46</v>
      </c>
      <c r="AB15" s="3" t="s">
        <v>46</v>
      </c>
      <c r="AC15" s="3" t="s">
        <v>46</v>
      </c>
      <c r="AD15" s="3"/>
      <c r="AE15" s="3"/>
      <c r="AF15" s="3"/>
      <c r="AG15" s="3"/>
      <c r="AH15" s="3" cm="1">
        <f t="array" ref="AH15">SUMPRODUCT((C15:AG15="P")*($C$5:$AG$5&lt;&gt;"Fri")*($C$5:$AG$5&lt;&gt;"Sat")*($C$4:$AG$4=0))</f>
        <v>15</v>
      </c>
      <c r="AI15" s="3" cm="1">
        <f t="array" ref="AI15">SUMPRODUCT((C15:AG15="A")*($C$5:$AG$5&lt;&gt;"Fri")*($C$5:$AG$5&lt;&gt;"Sat")*($C$4:$AG$4=0))</f>
        <v>0</v>
      </c>
      <c r="AJ15" s="3" cm="1">
        <f t="array" ref="AJ15">SUMPRODUCT((C15:AG15="H")*($C$5:$AG$5&lt;&gt;"Fri")*($C$5:$AG$5&lt;&gt;"Sat")*($C$4:$AG$4=0))</f>
        <v>0</v>
      </c>
      <c r="AK15" s="3" cm="1">
        <f t="array" ref="AK15">SUMPRODUCT(($C$5:$AG$5&lt;&gt;"Fri")*($C$5:$AG$5&lt;&gt;"Sat")*($C$4:$AG$4=0))</f>
        <v>20</v>
      </c>
      <c r="AL15" s="4">
        <f t="shared" si="3"/>
        <v>0.75</v>
      </c>
      <c r="AM15" s="4">
        <f t="shared" si="4"/>
        <v>0</v>
      </c>
      <c r="AN15" s="7"/>
    </row>
    <row r="16" spans="1:40">
      <c r="A16" s="5">
        <v>10</v>
      </c>
      <c r="B16" s="10" t="s">
        <v>56</v>
      </c>
      <c r="C16" s="9" t="s">
        <v>46</v>
      </c>
      <c r="D16" s="24" t="s">
        <v>46</v>
      </c>
      <c r="E16" s="24" t="s">
        <v>61</v>
      </c>
      <c r="F16" s="24" t="s">
        <v>46</v>
      </c>
      <c r="G16" s="24" t="s">
        <v>70</v>
      </c>
      <c r="H16" s="19"/>
      <c r="I16" s="9"/>
      <c r="J16" s="9" t="s">
        <v>46</v>
      </c>
      <c r="K16" s="9" t="s">
        <v>81</v>
      </c>
      <c r="L16" s="9" t="s">
        <v>61</v>
      </c>
      <c r="M16" s="9" t="s">
        <v>82</v>
      </c>
      <c r="N16" s="9" t="s">
        <v>68</v>
      </c>
      <c r="O16" s="3" t="s">
        <v>46</v>
      </c>
      <c r="P16" s="3"/>
      <c r="Q16" s="9" t="s">
        <v>46</v>
      </c>
      <c r="R16" s="9" t="s">
        <v>46</v>
      </c>
      <c r="S16" s="9" t="s">
        <v>46</v>
      </c>
      <c r="T16" s="3" t="s">
        <v>46</v>
      </c>
      <c r="U16" s="9" t="s">
        <v>68</v>
      </c>
      <c r="V16" s="3" t="s">
        <v>46</v>
      </c>
      <c r="W16" s="3"/>
      <c r="X16" s="3" t="s">
        <v>46</v>
      </c>
      <c r="Y16" s="3" t="s">
        <v>46</v>
      </c>
      <c r="Z16" s="3" t="s">
        <v>46</v>
      </c>
      <c r="AA16" s="3" t="s">
        <v>46</v>
      </c>
      <c r="AB16" s="3" t="s">
        <v>46</v>
      </c>
      <c r="AC16" s="3" t="s">
        <v>46</v>
      </c>
      <c r="AD16" s="3"/>
      <c r="AE16" s="3"/>
      <c r="AF16" s="3"/>
      <c r="AG16" s="3"/>
      <c r="AH16" s="3" cm="1">
        <f t="array" ref="AH16">SUMPRODUCT((C16:AG16="P")*($C$5:$AG$5&lt;&gt;"Fri")*($C$5:$AG$5&lt;&gt;"Sat")*($C$4:$AG$4=0))</f>
        <v>14</v>
      </c>
      <c r="AI16" s="3" cm="1">
        <f t="array" ref="AI16">SUMPRODUCT((C16:AG16="A")*($C$5:$AG$5&lt;&gt;"Fri")*($C$5:$AG$5&lt;&gt;"Sat")*($C$4:$AG$4=0))</f>
        <v>0</v>
      </c>
      <c r="AJ16" s="3" cm="1">
        <f t="array" ref="AJ16">SUMPRODUCT((C16:AG16="H")*($C$5:$AG$5&lt;&gt;"Fri")*($C$5:$AG$5&lt;&gt;"Sat")*($C$4:$AG$4=0))</f>
        <v>0</v>
      </c>
      <c r="AK16" s="3" cm="1">
        <f t="array" ref="AK16">SUMPRODUCT(($C$5:$AG$5&lt;&gt;"Fri")*($C$5:$AG$5&lt;&gt;"Sat")*($C$4:$AG$4=0))</f>
        <v>20</v>
      </c>
      <c r="AL16" s="4">
        <f t="shared" si="3"/>
        <v>0.7</v>
      </c>
      <c r="AM16" s="4">
        <f t="shared" si="4"/>
        <v>0</v>
      </c>
      <c r="AN16" s="7"/>
    </row>
    <row r="17" spans="1:40">
      <c r="A17" s="5">
        <v>11</v>
      </c>
      <c r="B17" s="10" t="s">
        <v>57</v>
      </c>
      <c r="C17" s="9" t="s">
        <v>46</v>
      </c>
      <c r="D17" s="24" t="s">
        <v>46</v>
      </c>
      <c r="E17" s="24" t="s">
        <v>46</v>
      </c>
      <c r="F17" s="24" t="s">
        <v>46</v>
      </c>
      <c r="G17" s="24" t="s">
        <v>46</v>
      </c>
      <c r="H17" s="19"/>
      <c r="I17" s="9"/>
      <c r="J17" s="9" t="s">
        <v>46</v>
      </c>
      <c r="K17" s="9" t="s">
        <v>46</v>
      </c>
      <c r="L17" s="9" t="s">
        <v>46</v>
      </c>
      <c r="M17" s="9" t="s">
        <v>46</v>
      </c>
      <c r="N17" s="9" t="s">
        <v>68</v>
      </c>
      <c r="O17" s="3" t="s">
        <v>46</v>
      </c>
      <c r="P17" s="3"/>
      <c r="Q17" s="9" t="s">
        <v>46</v>
      </c>
      <c r="R17" s="9" t="s">
        <v>46</v>
      </c>
      <c r="S17" s="9" t="s">
        <v>46</v>
      </c>
      <c r="T17" s="3" t="s">
        <v>46</v>
      </c>
      <c r="U17" s="9" t="s">
        <v>68</v>
      </c>
      <c r="V17" s="3" t="s">
        <v>46</v>
      </c>
      <c r="W17" s="3"/>
      <c r="X17" s="3" t="s">
        <v>46</v>
      </c>
      <c r="Y17" s="3" t="s">
        <v>46</v>
      </c>
      <c r="Z17" s="3" t="s">
        <v>46</v>
      </c>
      <c r="AA17" s="3" t="s">
        <v>46</v>
      </c>
      <c r="AB17" s="3" t="s">
        <v>46</v>
      </c>
      <c r="AC17" s="3" t="s">
        <v>46</v>
      </c>
      <c r="AD17" s="3"/>
      <c r="AE17" s="3"/>
      <c r="AF17" s="3"/>
      <c r="AG17" s="3"/>
      <c r="AH17" s="3" cm="1">
        <f t="array" ref="AH17">SUMPRODUCT((C17:AG17="P")*($C$5:$AG$5&lt;&gt;"Fri")*($C$5:$AG$5&lt;&gt;"Sat")*($C$4:$AG$4=0))</f>
        <v>18</v>
      </c>
      <c r="AI17" s="3" cm="1">
        <f t="array" ref="AI17">SUMPRODUCT((C17:AG17="A")*($C$5:$AG$5&lt;&gt;"Fri")*($C$5:$AG$5&lt;&gt;"Sat")*($C$4:$AG$4=0))</f>
        <v>0</v>
      </c>
      <c r="AJ17" s="3" cm="1">
        <f t="array" ref="AJ17">SUMPRODUCT((C17:AG17="H")*($C$5:$AG$5&lt;&gt;"Fri")*($C$5:$AG$5&lt;&gt;"Sat")*($C$4:$AG$4=0))</f>
        <v>0</v>
      </c>
      <c r="AK17" s="3" cm="1">
        <f t="array" ref="AK17">SUMPRODUCT(($C$5:$AG$5&lt;&gt;"Fri")*($C$5:$AG$5&lt;&gt;"Sat")*($C$4:$AG$4=0))</f>
        <v>20</v>
      </c>
      <c r="AL17" s="4">
        <f t="shared" si="3"/>
        <v>0.9</v>
      </c>
      <c r="AM17" s="4">
        <f t="shared" si="4"/>
        <v>0</v>
      </c>
      <c r="AN17" s="7"/>
    </row>
    <row r="18" spans="1:40" ht="15">
      <c r="A18" s="5">
        <v>12</v>
      </c>
      <c r="B18" s="11" t="s">
        <v>58</v>
      </c>
      <c r="C18" s="9" t="s">
        <v>46</v>
      </c>
      <c r="D18" s="24" t="s">
        <v>46</v>
      </c>
      <c r="E18" s="24" t="s">
        <v>46</v>
      </c>
      <c r="F18" s="24" t="s">
        <v>46</v>
      </c>
      <c r="G18" s="24" t="s">
        <v>46</v>
      </c>
      <c r="H18" s="20"/>
      <c r="I18" s="15"/>
      <c r="J18" s="9" t="s">
        <v>46</v>
      </c>
      <c r="K18" s="9" t="s">
        <v>46</v>
      </c>
      <c r="L18" s="9" t="s">
        <v>46</v>
      </c>
      <c r="M18" s="9" t="s">
        <v>46</v>
      </c>
      <c r="N18" s="9" t="s">
        <v>68</v>
      </c>
      <c r="O18" s="3" t="s">
        <v>46</v>
      </c>
      <c r="P18" s="16"/>
      <c r="Q18" s="15" t="s">
        <v>46</v>
      </c>
      <c r="R18" s="15" t="s">
        <v>46</v>
      </c>
      <c r="S18" s="15" t="s">
        <v>46</v>
      </c>
      <c r="T18" s="3" t="s">
        <v>46</v>
      </c>
      <c r="U18" s="9" t="s">
        <v>68</v>
      </c>
      <c r="V18" s="3" t="s">
        <v>46</v>
      </c>
      <c r="W18" s="16"/>
      <c r="X18" s="3" t="s">
        <v>46</v>
      </c>
      <c r="Y18" s="3" t="s">
        <v>46</v>
      </c>
      <c r="Z18" s="3" t="s">
        <v>46</v>
      </c>
      <c r="AA18" s="3" t="s">
        <v>46</v>
      </c>
      <c r="AB18" s="3" t="s">
        <v>46</v>
      </c>
      <c r="AC18" s="3" t="s">
        <v>46</v>
      </c>
      <c r="AD18" s="16"/>
      <c r="AE18" s="16"/>
      <c r="AF18" s="16"/>
      <c r="AG18" s="16"/>
      <c r="AH18" s="16" cm="1">
        <f t="array" ref="AH18">SUMPRODUCT((C18:AG18="P")*($C$5:$AG$5&lt;&gt;"Fri")*($C$5:$AG$5&lt;&gt;"Sat")*($C$4:$AG$4=0))</f>
        <v>18</v>
      </c>
      <c r="AI18" s="16" cm="1">
        <f t="array" ref="AI18">SUMPRODUCT((C18:AG18="A")*($C$5:$AG$5&lt;&gt;"Fri")*($C$5:$AG$5&lt;&gt;"Sat")*($C$4:$AG$4=0))</f>
        <v>0</v>
      </c>
      <c r="AJ18" s="16" cm="1">
        <f t="array" ref="AJ18">SUMPRODUCT((C18:AG18="H")*($C$5:$AG$5&lt;&gt;"Fri")*($C$5:$AG$5&lt;&gt;"Sat")*($C$4:$AG$4=0))</f>
        <v>0</v>
      </c>
      <c r="AK18" s="16" cm="1">
        <f t="array" ref="AK18">SUMPRODUCT(($C$5:$AG$5&lt;&gt;"Fri")*($C$5:$AG$5&lt;&gt;"Sat")*($C$4:$AG$4=0))</f>
        <v>20</v>
      </c>
      <c r="AL18" s="17">
        <f t="shared" si="3"/>
        <v>0.9</v>
      </c>
      <c r="AM18" s="17">
        <f t="shared" si="4"/>
        <v>0</v>
      </c>
      <c r="AN18" s="7"/>
    </row>
    <row r="19" spans="1:40">
      <c r="A19" s="21">
        <v>13</v>
      </c>
      <c r="B19" s="13" t="s">
        <v>59</v>
      </c>
      <c r="C19" s="9" t="s">
        <v>46</v>
      </c>
      <c r="D19" s="24" t="s">
        <v>46</v>
      </c>
      <c r="E19" s="24" t="s">
        <v>46</v>
      </c>
      <c r="F19" s="24" t="s">
        <v>46</v>
      </c>
      <c r="G19" s="24" t="s">
        <v>46</v>
      </c>
      <c r="H19" s="19"/>
      <c r="I19" s="3"/>
      <c r="J19" s="9" t="s">
        <v>46</v>
      </c>
      <c r="K19" s="9" t="s">
        <v>46</v>
      </c>
      <c r="L19" s="9" t="s">
        <v>46</v>
      </c>
      <c r="M19" s="9" t="s">
        <v>46</v>
      </c>
      <c r="N19" s="9" t="s">
        <v>68</v>
      </c>
      <c r="O19" s="3" t="s">
        <v>46</v>
      </c>
      <c r="P19" s="3"/>
      <c r="Q19" s="15" t="s">
        <v>46</v>
      </c>
      <c r="R19" s="15" t="s">
        <v>46</v>
      </c>
      <c r="S19" s="15" t="s">
        <v>46</v>
      </c>
      <c r="T19" s="3" t="s">
        <v>46</v>
      </c>
      <c r="U19" s="9" t="s">
        <v>68</v>
      </c>
      <c r="V19" s="3" t="s">
        <v>46</v>
      </c>
      <c r="W19" s="3"/>
      <c r="X19" s="3" t="s">
        <v>46</v>
      </c>
      <c r="Y19" s="3" t="s">
        <v>46</v>
      </c>
      <c r="Z19" s="3" t="s">
        <v>46</v>
      </c>
      <c r="AA19" s="3" t="s">
        <v>46</v>
      </c>
      <c r="AB19" s="3" t="s">
        <v>46</v>
      </c>
      <c r="AC19" s="3" t="s">
        <v>46</v>
      </c>
      <c r="AD19" s="3"/>
      <c r="AE19" s="3"/>
      <c r="AF19" s="3"/>
      <c r="AG19" s="3"/>
      <c r="AH19" s="16" cm="1">
        <f t="array" ref="AH19">SUMPRODUCT((C19:AG19="P")*($C$5:$AG$5&lt;&gt;"Fri")*($C$5:$AG$5&lt;&gt;"Sat")*($C$4:$AG$4=0))</f>
        <v>18</v>
      </c>
      <c r="AI19" s="16" cm="1">
        <f t="array" ref="AI19">SUMPRODUCT((C19:AG19="A")*($C$5:$AG$5&lt;&gt;"Fri")*($C$5:$AG$5&lt;&gt;"Sat")*($C$4:$AG$4=0))</f>
        <v>0</v>
      </c>
      <c r="AJ19" s="16" cm="1">
        <f t="array" ref="AJ19">SUMPRODUCT((C19:AG19="H")*($C$5:$AG$5&lt;&gt;"Fri")*($C$5:$AG$5&lt;&gt;"Sat")*($C$4:$AG$4=0))</f>
        <v>0</v>
      </c>
      <c r="AK19" s="16" cm="1">
        <f t="array" ref="AK19">SUMPRODUCT(($C$5:$AG$5&lt;&gt;"Fri")*($C$5:$AG$5&lt;&gt;"Sat")*($C$4:$AG$4=0))</f>
        <v>20</v>
      </c>
      <c r="AL19" s="17">
        <f t="shared" si="3"/>
        <v>0.9</v>
      </c>
      <c r="AM19" s="17">
        <f t="shared" si="4"/>
        <v>0</v>
      </c>
      <c r="AN19" s="18"/>
    </row>
    <row r="20" spans="1:40">
      <c r="A20" s="22">
        <v>14</v>
      </c>
      <c r="B20" s="13" t="s">
        <v>60</v>
      </c>
      <c r="C20" s="9" t="s">
        <v>46</v>
      </c>
      <c r="D20" s="24" t="s">
        <v>46</v>
      </c>
      <c r="E20" s="24" t="s">
        <v>46</v>
      </c>
      <c r="F20" s="24" t="s">
        <v>46</v>
      </c>
      <c r="G20" s="24" t="s">
        <v>46</v>
      </c>
      <c r="H20" s="19"/>
      <c r="I20" s="3"/>
      <c r="J20" s="9" t="s">
        <v>46</v>
      </c>
      <c r="K20" s="9" t="s">
        <v>46</v>
      </c>
      <c r="L20" s="9" t="s">
        <v>46</v>
      </c>
      <c r="M20" s="9" t="s">
        <v>46</v>
      </c>
      <c r="N20" s="9" t="s">
        <v>68</v>
      </c>
      <c r="O20" s="3" t="s">
        <v>46</v>
      </c>
      <c r="P20" s="3"/>
      <c r="Q20" s="15" t="s">
        <v>46</v>
      </c>
      <c r="R20" s="15" t="s">
        <v>46</v>
      </c>
      <c r="S20" s="15" t="s">
        <v>46</v>
      </c>
      <c r="T20" s="3" t="s">
        <v>46</v>
      </c>
      <c r="U20" s="9" t="s">
        <v>68</v>
      </c>
      <c r="V20" s="3" t="s">
        <v>46</v>
      </c>
      <c r="W20" s="3"/>
      <c r="X20" s="3" t="s">
        <v>46</v>
      </c>
      <c r="Y20" s="3" t="s">
        <v>46</v>
      </c>
      <c r="Z20" s="3" t="s">
        <v>46</v>
      </c>
      <c r="AA20" s="3" t="s">
        <v>46</v>
      </c>
      <c r="AB20" s="3" t="s">
        <v>46</v>
      </c>
      <c r="AC20" s="3" t="s">
        <v>46</v>
      </c>
      <c r="AD20" s="3"/>
      <c r="AE20" s="3"/>
      <c r="AF20" s="3"/>
      <c r="AG20" s="3"/>
      <c r="AH20" s="16" cm="1">
        <f t="array" ref="AH20">SUMPRODUCT((C20:AG20="P")*($C$5:$AG$5&lt;&gt;"Fri")*($C$5:$AG$5&lt;&gt;"Sat")*($C$4:$AG$4=0))</f>
        <v>18</v>
      </c>
      <c r="AI20" s="16" cm="1">
        <f t="array" ref="AI20">SUMPRODUCT((C20:AG20="A")*($C$5:$AG$5&lt;&gt;"Fri")*($C$5:$AG$5&lt;&gt;"Sat")*($C$4:$AG$4=0))</f>
        <v>0</v>
      </c>
      <c r="AJ20" s="16" cm="1">
        <f t="array" ref="AJ20">SUMPRODUCT((C20:AG20="H")*($C$5:$AG$5&lt;&gt;"Fri")*($C$5:$AG$5&lt;&gt;"Sat")*($C$4:$AG$4=0))</f>
        <v>0</v>
      </c>
      <c r="AK20" s="16" cm="1">
        <f t="array" ref="AK20">SUMPRODUCT(($C$5:$AG$5&lt;&gt;"Fri")*($C$5:$AG$5&lt;&gt;"Sat")*($C$4:$AG$4=0))</f>
        <v>20</v>
      </c>
      <c r="AL20" s="17">
        <f t="shared" si="3"/>
        <v>0.9</v>
      </c>
      <c r="AM20" s="17">
        <f t="shared" si="4"/>
        <v>0</v>
      </c>
      <c r="AN20" s="18"/>
    </row>
    <row r="21" spans="1:40" ht="14.45" customHeight="1">
      <c r="A21" s="22">
        <v>15</v>
      </c>
      <c r="B21" s="14" t="s">
        <v>62</v>
      </c>
      <c r="C21" s="9" t="s">
        <v>46</v>
      </c>
      <c r="D21" s="24" t="s">
        <v>46</v>
      </c>
      <c r="E21" s="24" t="s">
        <v>46</v>
      </c>
      <c r="F21" s="24" t="s">
        <v>46</v>
      </c>
      <c r="G21" s="24" t="s">
        <v>46</v>
      </c>
      <c r="H21" s="19"/>
      <c r="I21" s="3"/>
      <c r="J21" s="9" t="s">
        <v>46</v>
      </c>
      <c r="K21" s="9" t="s">
        <v>46</v>
      </c>
      <c r="L21" s="9" t="s">
        <v>46</v>
      </c>
      <c r="M21" s="9" t="s">
        <v>46</v>
      </c>
      <c r="N21" s="9" t="s">
        <v>68</v>
      </c>
      <c r="O21" s="3" t="s">
        <v>46</v>
      </c>
      <c r="P21" s="3"/>
      <c r="Q21" s="15" t="s">
        <v>46</v>
      </c>
      <c r="R21" s="15" t="s">
        <v>46</v>
      </c>
      <c r="S21" s="15" t="s">
        <v>46</v>
      </c>
      <c r="T21" s="3" t="s">
        <v>46</v>
      </c>
      <c r="U21" s="9" t="s">
        <v>68</v>
      </c>
      <c r="V21" s="3" t="s">
        <v>46</v>
      </c>
      <c r="W21" s="3"/>
      <c r="X21" s="3" t="s">
        <v>46</v>
      </c>
      <c r="Y21" s="3" t="s">
        <v>46</v>
      </c>
      <c r="Z21" s="3" t="s">
        <v>46</v>
      </c>
      <c r="AA21" s="3" t="s">
        <v>46</v>
      </c>
      <c r="AB21" s="3" t="s">
        <v>46</v>
      </c>
      <c r="AC21" s="3" t="s">
        <v>46</v>
      </c>
      <c r="AD21" s="3"/>
      <c r="AE21" s="3"/>
      <c r="AF21" s="3"/>
      <c r="AG21" s="3"/>
      <c r="AH21" s="16" cm="1">
        <f t="array" ref="AH21">SUMPRODUCT((C21:AG21="P")*($C$5:$AG$5&lt;&gt;"Fri")*($C$5:$AG$5&lt;&gt;"Sat")*($C$4:$AG$4=0))</f>
        <v>18</v>
      </c>
      <c r="AI21" s="16" cm="1">
        <f t="array" ref="AI21">SUMPRODUCT((C21:AG21="A")*($C$5:$AG$5&lt;&gt;"Fri")*($C$5:$AG$5&lt;&gt;"Sat")*($C$4:$AG$4=0))</f>
        <v>0</v>
      </c>
      <c r="AJ21" s="16" cm="1">
        <f t="array" ref="AJ21">SUMPRODUCT((C21:AG21="H")*($C$5:$AG$5&lt;&gt;"Fri")*($C$5:$AG$5&lt;&gt;"Sat")*($C$4:$AG$4=0))</f>
        <v>0</v>
      </c>
      <c r="AK21" s="16" cm="1">
        <f t="array" ref="AK21">SUMPRODUCT(($C$5:$AG$5&lt;&gt;"Fri")*($C$5:$AG$5&lt;&gt;"Sat")*($C$4:$AG$4=0))</f>
        <v>20</v>
      </c>
      <c r="AL21" s="17">
        <f t="shared" si="3"/>
        <v>0.9</v>
      </c>
      <c r="AM21" s="17">
        <f t="shared" si="4"/>
        <v>0</v>
      </c>
      <c r="AN21" s="18"/>
    </row>
    <row r="22" spans="1:40" ht="14.45" customHeight="1">
      <c r="A22" s="22">
        <v>16</v>
      </c>
      <c r="B22" s="14" t="s">
        <v>63</v>
      </c>
      <c r="C22" s="9" t="s">
        <v>46</v>
      </c>
      <c r="D22" s="24" t="s">
        <v>46</v>
      </c>
      <c r="E22" s="24" t="s">
        <v>46</v>
      </c>
      <c r="F22" s="24" t="s">
        <v>46</v>
      </c>
      <c r="G22" s="24" t="s">
        <v>46</v>
      </c>
      <c r="H22" s="19"/>
      <c r="I22" s="3"/>
      <c r="J22" s="9" t="s">
        <v>46</v>
      </c>
      <c r="K22" s="9" t="s">
        <v>46</v>
      </c>
      <c r="L22" s="9" t="s">
        <v>46</v>
      </c>
      <c r="M22" s="9" t="s">
        <v>46</v>
      </c>
      <c r="N22" s="9" t="s">
        <v>68</v>
      </c>
      <c r="O22" s="3"/>
      <c r="P22" s="3"/>
      <c r="Q22" s="15" t="s">
        <v>46</v>
      </c>
      <c r="R22" s="15" t="s">
        <v>46</v>
      </c>
      <c r="S22" s="15" t="s">
        <v>46</v>
      </c>
      <c r="T22" s="3" t="s">
        <v>46</v>
      </c>
      <c r="U22" s="9" t="s">
        <v>68</v>
      </c>
      <c r="V22" s="3"/>
      <c r="W22" s="3"/>
      <c r="X22" s="3" t="s">
        <v>46</v>
      </c>
      <c r="Y22" s="3" t="s">
        <v>46</v>
      </c>
      <c r="Z22" s="3" t="s">
        <v>46</v>
      </c>
      <c r="AA22" s="3" t="s">
        <v>46</v>
      </c>
      <c r="AB22" s="3" t="s">
        <v>46</v>
      </c>
      <c r="AC22" s="3"/>
      <c r="AD22" s="3"/>
      <c r="AE22" s="3"/>
      <c r="AF22" s="3"/>
      <c r="AG22" s="3"/>
      <c r="AH22" s="16" cm="1">
        <f t="array" ref="AH22">SUMPRODUCT((C22:AG22="P")*($C$5:$AG$5&lt;&gt;"Fri")*($C$5:$AG$5&lt;&gt;"Sat")*($C$4:$AG$4=0))</f>
        <v>18</v>
      </c>
      <c r="AI22" s="16" cm="1">
        <f t="array" ref="AI22">SUMPRODUCT((C22:AG22="A")*($C$5:$AG$5&lt;&gt;"Fri")*($C$5:$AG$5&lt;&gt;"Sat")*($C$4:$AG$4=0))</f>
        <v>0</v>
      </c>
      <c r="AJ22" s="16" cm="1">
        <f t="array" ref="AJ22">SUMPRODUCT((C22:AG22="H")*($C$5:$AG$5&lt;&gt;"Fri")*($C$5:$AG$5&lt;&gt;"Sat")*($C$4:$AG$4=0))</f>
        <v>0</v>
      </c>
      <c r="AK22" s="16" cm="1">
        <f t="array" ref="AK22">SUMPRODUCT(($C$5:$AG$5&lt;&gt;"Fri")*($C$5:$AG$5&lt;&gt;"Sat")*($C$4:$AG$4=0))</f>
        <v>20</v>
      </c>
      <c r="AL22" s="17">
        <f t="shared" si="3"/>
        <v>0.9</v>
      </c>
      <c r="AM22" s="17">
        <f t="shared" si="4"/>
        <v>0</v>
      </c>
      <c r="AN22" s="18"/>
    </row>
    <row r="23" spans="1:40" ht="14.45" customHeight="1">
      <c r="A23" s="22">
        <v>17</v>
      </c>
      <c r="B23" s="14" t="s">
        <v>64</v>
      </c>
      <c r="C23" s="9" t="s">
        <v>46</v>
      </c>
      <c r="D23" s="24" t="s">
        <v>46</v>
      </c>
      <c r="E23" s="24" t="s">
        <v>46</v>
      </c>
      <c r="F23" s="24" t="s">
        <v>46</v>
      </c>
      <c r="G23" s="24" t="s">
        <v>46</v>
      </c>
      <c r="H23" s="19"/>
      <c r="I23" s="3"/>
      <c r="J23" s="9" t="s">
        <v>46</v>
      </c>
      <c r="K23" s="9" t="s">
        <v>46</v>
      </c>
      <c r="L23" s="9" t="s">
        <v>46</v>
      </c>
      <c r="M23" s="9" t="s">
        <v>46</v>
      </c>
      <c r="N23" s="9" t="s">
        <v>68</v>
      </c>
      <c r="O23" s="3"/>
      <c r="P23" s="3"/>
      <c r="Q23" s="15" t="s">
        <v>46</v>
      </c>
      <c r="R23" s="15" t="s">
        <v>46</v>
      </c>
      <c r="S23" s="15" t="s">
        <v>46</v>
      </c>
      <c r="T23" s="3" t="s">
        <v>46</v>
      </c>
      <c r="U23" s="9" t="s">
        <v>68</v>
      </c>
      <c r="V23" s="3"/>
      <c r="W23" s="3"/>
      <c r="X23" s="3" t="s">
        <v>46</v>
      </c>
      <c r="Y23" s="3" t="s">
        <v>46</v>
      </c>
      <c r="Z23" s="3" t="s">
        <v>46</v>
      </c>
      <c r="AA23" s="3" t="s">
        <v>61</v>
      </c>
      <c r="AB23" s="3" t="s">
        <v>61</v>
      </c>
      <c r="AC23" s="3"/>
      <c r="AD23" s="3"/>
      <c r="AE23" s="3"/>
      <c r="AF23" s="3"/>
      <c r="AG23" s="3"/>
      <c r="AH23" s="16" cm="1">
        <f t="array" ref="AH23">SUMPRODUCT((C23:AG23="P")*($C$5:$AG$5&lt;&gt;"Fri")*($C$5:$AG$5&lt;&gt;"Sat")*($C$4:$AG$4=0))</f>
        <v>16</v>
      </c>
      <c r="AI23" s="16" cm="1">
        <f t="array" ref="AI23">SUMPRODUCT((C23:AG23="A")*($C$5:$AG$5&lt;&gt;"Fri")*($C$5:$AG$5&lt;&gt;"Sat")*($C$4:$AG$4=0))</f>
        <v>0</v>
      </c>
      <c r="AJ23" s="16" cm="1">
        <f t="array" ref="AJ23">SUMPRODUCT((C23:AG23="H")*($C$5:$AG$5&lt;&gt;"Fri")*($C$5:$AG$5&lt;&gt;"Sat")*($C$4:$AG$4=0))</f>
        <v>0</v>
      </c>
      <c r="AK23" s="16" cm="1">
        <f t="array" ref="AK23">SUMPRODUCT(($C$5:$AG$5&lt;&gt;"Fri")*($C$5:$AG$5&lt;&gt;"Sat")*($C$4:$AG$4=0))</f>
        <v>20</v>
      </c>
      <c r="AL23" s="17">
        <f t="shared" si="3"/>
        <v>0.8</v>
      </c>
      <c r="AM23" s="17">
        <f t="shared" si="4"/>
        <v>0</v>
      </c>
      <c r="AN23" s="18"/>
    </row>
    <row r="24" spans="1:40" ht="14.45" customHeight="1">
      <c r="A24" s="22">
        <v>18</v>
      </c>
      <c r="B24" s="14" t="s">
        <v>65</v>
      </c>
      <c r="C24" s="9" t="s">
        <v>46</v>
      </c>
      <c r="D24" s="24" t="s">
        <v>46</v>
      </c>
      <c r="E24" s="24" t="s">
        <v>70</v>
      </c>
      <c r="F24" s="24" t="s">
        <v>46</v>
      </c>
      <c r="G24" s="24" t="s">
        <v>46</v>
      </c>
      <c r="H24" s="19"/>
      <c r="I24" s="3"/>
      <c r="J24" s="9" t="s">
        <v>46</v>
      </c>
      <c r="K24" s="9" t="s">
        <v>46</v>
      </c>
      <c r="L24" s="9" t="s">
        <v>46</v>
      </c>
      <c r="M24" s="9" t="s">
        <v>46</v>
      </c>
      <c r="N24" s="9" t="s">
        <v>68</v>
      </c>
      <c r="O24" s="3"/>
      <c r="P24" s="3"/>
      <c r="Q24" s="30" t="s">
        <v>74</v>
      </c>
      <c r="R24" s="30" t="s">
        <v>74</v>
      </c>
      <c r="S24" s="30" t="s">
        <v>77</v>
      </c>
      <c r="T24" s="31" t="s">
        <v>83</v>
      </c>
      <c r="U24" s="9" t="s">
        <v>68</v>
      </c>
      <c r="V24" s="3"/>
      <c r="W24" s="3"/>
      <c r="X24" s="3" t="s">
        <v>46</v>
      </c>
      <c r="Y24" s="3" t="s">
        <v>46</v>
      </c>
      <c r="Z24" s="3" t="s">
        <v>46</v>
      </c>
      <c r="AA24" s="3" t="s">
        <v>46</v>
      </c>
      <c r="AB24" s="3" t="s">
        <v>46</v>
      </c>
      <c r="AC24" s="3"/>
      <c r="AD24" s="3"/>
      <c r="AE24" s="3"/>
      <c r="AF24" s="3"/>
      <c r="AG24" s="3"/>
      <c r="AH24" s="16" cm="1">
        <f t="array" ref="AH24">SUMPRODUCT((C24:AG24="P")*($C$5:$AG$5&lt;&gt;"Fri")*($C$5:$AG$5&lt;&gt;"Sat")*($C$4:$AG$4=0))</f>
        <v>13</v>
      </c>
      <c r="AI24" s="16" cm="1">
        <f t="array" ref="AI24">SUMPRODUCT((C24:AG24="A")*($C$5:$AG$5&lt;&gt;"Fri")*($C$5:$AG$5&lt;&gt;"Sat")*($C$4:$AG$4=0))</f>
        <v>0</v>
      </c>
      <c r="AJ24" s="16" cm="1">
        <f t="array" ref="AJ24">SUMPRODUCT((C24:AG24="H")*($C$5:$AG$5&lt;&gt;"Fri")*($C$5:$AG$5&lt;&gt;"Sat")*($C$4:$AG$4=0))</f>
        <v>0</v>
      </c>
      <c r="AK24" s="16" cm="1">
        <f t="array" ref="AK24">SUMPRODUCT(($C$5:$AG$5&lt;&gt;"Fri")*($C$5:$AG$5&lt;&gt;"Sat")*($C$4:$AG$4=0))</f>
        <v>20</v>
      </c>
      <c r="AL24" s="17">
        <f t="shared" si="3"/>
        <v>0.65</v>
      </c>
      <c r="AM24" s="17">
        <f t="shared" si="4"/>
        <v>0</v>
      </c>
      <c r="AN24" s="18"/>
    </row>
    <row r="25" spans="1:40" ht="14.45" customHeight="1">
      <c r="A25" s="22">
        <v>19</v>
      </c>
      <c r="B25" s="14" t="s">
        <v>66</v>
      </c>
      <c r="C25" s="29" t="s">
        <v>68</v>
      </c>
      <c r="D25" s="29" t="s">
        <v>68</v>
      </c>
      <c r="E25" s="24" t="s">
        <v>46</v>
      </c>
      <c r="F25" s="24" t="s">
        <v>46</v>
      </c>
      <c r="G25" s="24" t="s">
        <v>46</v>
      </c>
      <c r="H25" s="19"/>
      <c r="I25" s="3"/>
      <c r="J25" s="9" t="s">
        <v>46</v>
      </c>
      <c r="K25" s="9" t="s">
        <v>74</v>
      </c>
      <c r="L25" s="9" t="s">
        <v>46</v>
      </c>
      <c r="M25" s="9" t="s">
        <v>46</v>
      </c>
      <c r="N25" s="9" t="s">
        <v>68</v>
      </c>
      <c r="O25" s="3"/>
      <c r="P25" s="3"/>
      <c r="Q25" s="15" t="s">
        <v>46</v>
      </c>
      <c r="R25" s="15" t="s">
        <v>46</v>
      </c>
      <c r="S25" s="9" t="s">
        <v>46</v>
      </c>
      <c r="T25" s="3" t="s">
        <v>46</v>
      </c>
      <c r="U25" s="9" t="s">
        <v>68</v>
      </c>
      <c r="V25" s="3"/>
      <c r="W25" s="3"/>
      <c r="X25" s="3" t="s">
        <v>46</v>
      </c>
      <c r="Y25" s="3" t="s">
        <v>46</v>
      </c>
      <c r="Z25" s="3" t="s">
        <v>46</v>
      </c>
      <c r="AA25" s="3" t="s">
        <v>46</v>
      </c>
      <c r="AB25" s="3" t="s">
        <v>46</v>
      </c>
      <c r="AC25" s="3"/>
      <c r="AD25" s="3"/>
      <c r="AE25" s="3"/>
      <c r="AF25" s="3"/>
      <c r="AG25" s="3"/>
      <c r="AH25" s="16" cm="1">
        <f t="array" ref="AH25">SUMPRODUCT((C25:AG25="P")*($C$5:$AG$5&lt;&gt;"Fri")*($C$5:$AG$5&lt;&gt;"Sat")*($C$4:$AG$4=0))</f>
        <v>15</v>
      </c>
      <c r="AI25" s="16" cm="1">
        <f t="array" ref="AI25">SUMPRODUCT((C25:AG25="A")*($C$5:$AG$5&lt;&gt;"Fri")*($C$5:$AG$5&lt;&gt;"Sat")*($C$4:$AG$4=0))</f>
        <v>0</v>
      </c>
      <c r="AJ25" s="16" cm="1">
        <f t="array" ref="AJ25">SUMPRODUCT((C25:AG25="H")*($C$5:$AG$5&lt;&gt;"Fri")*($C$5:$AG$5&lt;&gt;"Sat")*($C$4:$AG$4=0))</f>
        <v>0</v>
      </c>
      <c r="AK25" s="16" cm="1">
        <f t="array" ref="AK25">SUMPRODUCT(($C$5:$AG$5&lt;&gt;"Fri")*($C$5:$AG$5&lt;&gt;"Sat")*($C$4:$AG$4=0))</f>
        <v>20</v>
      </c>
      <c r="AL25" s="17">
        <f t="shared" si="3"/>
        <v>0.75</v>
      </c>
      <c r="AM25" s="17">
        <f t="shared" si="4"/>
        <v>0</v>
      </c>
      <c r="AN25" s="18"/>
    </row>
    <row r="26" spans="1:40">
      <c r="A26" s="22">
        <v>20</v>
      </c>
      <c r="B26" s="14" t="s">
        <v>67</v>
      </c>
      <c r="C26" s="9" t="s">
        <v>46</v>
      </c>
      <c r="D26" s="24" t="s">
        <v>46</v>
      </c>
      <c r="E26" s="24" t="s">
        <v>46</v>
      </c>
      <c r="F26" s="24" t="s">
        <v>46</v>
      </c>
      <c r="G26" s="24" t="s">
        <v>46</v>
      </c>
      <c r="H26" s="19"/>
      <c r="I26" s="3"/>
      <c r="J26" s="9" t="s">
        <v>46</v>
      </c>
      <c r="K26" s="9" t="s">
        <v>46</v>
      </c>
      <c r="L26" s="9" t="s">
        <v>46</v>
      </c>
      <c r="M26" s="9" t="s">
        <v>46</v>
      </c>
      <c r="N26" s="9" t="s">
        <v>68</v>
      </c>
      <c r="O26" s="3" t="s">
        <v>46</v>
      </c>
      <c r="P26" s="3"/>
      <c r="Q26" s="9" t="s">
        <v>46</v>
      </c>
      <c r="R26" s="9" t="s">
        <v>46</v>
      </c>
      <c r="S26" s="9" t="s">
        <v>46</v>
      </c>
      <c r="T26" s="3" t="s">
        <v>46</v>
      </c>
      <c r="U26" s="9" t="s">
        <v>68</v>
      </c>
      <c r="V26" s="3" t="s">
        <v>46</v>
      </c>
      <c r="W26" s="3"/>
      <c r="X26" s="3" t="s">
        <v>46</v>
      </c>
      <c r="Y26" s="3" t="s">
        <v>46</v>
      </c>
      <c r="Z26" s="3" t="s">
        <v>46</v>
      </c>
      <c r="AA26" s="3" t="s">
        <v>46</v>
      </c>
      <c r="AB26" s="3" t="s">
        <v>46</v>
      </c>
      <c r="AC26" s="3" t="s">
        <v>46</v>
      </c>
      <c r="AD26" s="3"/>
      <c r="AE26" s="3"/>
      <c r="AF26" s="3"/>
      <c r="AG26" s="3"/>
      <c r="AH26" s="3" cm="1">
        <f t="array" ref="AH26">SUMPRODUCT((C26:AG26="P")*($C$5:$AG$5&lt;&gt;"Fri")*($C$5:$AG$5&lt;&gt;"Sat")*($C$4:$AG$4=0))</f>
        <v>18</v>
      </c>
      <c r="AI26" s="3" cm="1">
        <f t="array" ref="AI26">SUMPRODUCT((C26:AG26="A")*($C$5:$AG$5&lt;&gt;"Fri")*($C$5:$AG$5&lt;&gt;"Sat")*($C$4:$AG$4=0))</f>
        <v>0</v>
      </c>
      <c r="AJ26" s="3" cm="1">
        <f t="array" ref="AJ26">SUMPRODUCT((C26:AG26="H")*($C$5:$AG$5&lt;&gt;"Fri")*($C$5:$AG$5&lt;&gt;"Sat")*($C$4:$AG$4=0))</f>
        <v>0</v>
      </c>
      <c r="AK26" s="3" cm="1">
        <f t="array" ref="AK26">SUMPRODUCT(($C$5:$AG$5&lt;&gt;"Fri")*($C$5:$AG$5&lt;&gt;"Sat")*($C$4:$AG$4=0))</f>
        <v>20</v>
      </c>
      <c r="AL26" s="4">
        <f t="shared" si="3"/>
        <v>0.9</v>
      </c>
      <c r="AM26" s="4">
        <f t="shared" si="4"/>
        <v>0</v>
      </c>
      <c r="AN26" s="18"/>
    </row>
    <row r="27" spans="1:40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8"/>
    </row>
    <row r="29" spans="1:40">
      <c r="B29" s="28"/>
    </row>
  </sheetData>
  <mergeCells count="17">
    <mergeCell ref="A1:L1"/>
    <mergeCell ref="M1:Q1"/>
    <mergeCell ref="R1:T1"/>
    <mergeCell ref="B2:B4"/>
    <mergeCell ref="F2:H2"/>
    <mergeCell ref="I2:J2"/>
    <mergeCell ref="N2:P2"/>
    <mergeCell ref="Q2:AM3"/>
    <mergeCell ref="C3:P3"/>
    <mergeCell ref="AL5:AL6"/>
    <mergeCell ref="AM5:AM6"/>
    <mergeCell ref="A5:A6"/>
    <mergeCell ref="B5:B6"/>
    <mergeCell ref="AH5:AH6"/>
    <mergeCell ref="AI5:AI6"/>
    <mergeCell ref="AJ5:AJ6"/>
    <mergeCell ref="AK5:AK6"/>
  </mergeCells>
  <conditionalFormatting sqref="C5:AG6">
    <cfRule type="expression" dxfId="6" priority="7">
      <formula>OR(C$5="Fri", C$5="Sat")</formula>
    </cfRule>
  </conditionalFormatting>
  <conditionalFormatting sqref="C7:AG26">
    <cfRule type="expression" dxfId="5" priority="6">
      <formula>OR(C$5="Fri", C$5="Sat")</formula>
    </cfRule>
  </conditionalFormatting>
  <conditionalFormatting sqref="C5:AG26">
    <cfRule type="cellIs" dxfId="4" priority="5" operator="equal">
      <formula>"A"</formula>
    </cfRule>
  </conditionalFormatting>
  <conditionalFormatting sqref="C7:AG26">
    <cfRule type="cellIs" dxfId="3" priority="4" operator="equal">
      <formula>"a"</formula>
    </cfRule>
  </conditionalFormatting>
  <conditionalFormatting sqref="C7:AB26">
    <cfRule type="containsText" dxfId="2" priority="3" operator="containsText" text="L">
      <formula>NOT(ISERROR(SEARCH("L",C7)))</formula>
    </cfRule>
  </conditionalFormatting>
  <conditionalFormatting sqref="C7:AB26">
    <cfRule type="containsText" dxfId="1" priority="2" operator="containsText" text="AP">
      <formula>NOT(ISERROR(SEARCH("AP",C7)))</formula>
    </cfRule>
  </conditionalFormatting>
  <conditionalFormatting sqref="C7:AB26">
    <cfRule type="containsText" dxfId="0" priority="1" operator="containsText" text="SL">
      <formula>NOT(ISERROR(SEARCH("SL",C7)))</formula>
    </cfRule>
  </conditionalFormatting>
  <dataValidations count="3">
    <dataValidation type="custom" allowBlank="1" showInputMessage="1" showErrorMessage="1" sqref="P7:R18 S7:V26 AD7:AG18 W7:W18 J7:O26 F7:G26 X7:AC26 E7:E23 H7:I18 Q19:R26 C7:D26" xr:uid="{CA91F72E-1536-499F-9056-FCA4A9CD8053}">
      <formula1>C$6&lt;&gt;""</formula1>
    </dataValidation>
    <dataValidation type="list" allowBlank="1" showInputMessage="1" showErrorMessage="1" sqref="R1:T1" xr:uid="{6CDA18B6-04C6-4299-8840-7B5355E6E8ED}">
      <formula1>"2024,2025,2026"</formula1>
    </dataValidation>
    <dataValidation type="list" allowBlank="1" showInputMessage="1" showErrorMessage="1" sqref="M1:Q1" xr:uid="{F6CD0474-D6A6-4B98-B1D8-D3108DD625FA}">
      <formula1>Months</formula1>
    </dataValidation>
  </dataValidations>
  <pageMargins left="0.7" right="0.7" top="0.75" bottom="0.75" header="0.3" footer="0.3"/>
  <pageSetup fitToWidth="0" orientation="landscape" r:id="rId1"/>
  <colBreaks count="1" manualBreakCount="1">
    <brk id="16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1A45C-BB7C-4A71-ADD5-F5D4BC2C47B4}">
  <dimension ref="A1:C2"/>
  <sheetViews>
    <sheetView workbookViewId="0">
      <selection activeCell="A3" sqref="A3"/>
    </sheetView>
  </sheetViews>
  <sheetFormatPr defaultRowHeight="14.45"/>
  <cols>
    <col min="1" max="1" width="17.5703125" bestFit="1" customWidth="1"/>
    <col min="2" max="2" width="17.5703125" customWidth="1"/>
    <col min="3" max="3" width="19" bestFit="1" customWidth="1"/>
  </cols>
  <sheetData>
    <row r="1" spans="1:3">
      <c r="A1" t="s">
        <v>84</v>
      </c>
    </row>
    <row r="2" spans="1:3">
      <c r="A2" t="s">
        <v>85</v>
      </c>
      <c r="B2" t="s">
        <v>86</v>
      </c>
      <c r="C2" t="s">
        <v>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524ecfe-089c-425a-a4be-7743da73ddfc" xsi:nil="true"/>
    <lcf76f155ced4ddcb4097134ff3c332f xmlns="7112d4b0-5493-499c-a8a1-c4cefa8f8360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C4386AB3068CD42B8F0F14A3B25C6E6" ma:contentTypeVersion="15" ma:contentTypeDescription="Create a new document." ma:contentTypeScope="" ma:versionID="cbebdd2b41a23d37407a51bc12331ed5">
  <xsd:schema xmlns:xsd="http://www.w3.org/2001/XMLSchema" xmlns:xs="http://www.w3.org/2001/XMLSchema" xmlns:p="http://schemas.microsoft.com/office/2006/metadata/properties" xmlns:ns2="7112d4b0-5493-499c-a8a1-c4cefa8f8360" xmlns:ns3="5524ecfe-089c-425a-a4be-7743da73ddfc" targetNamespace="http://schemas.microsoft.com/office/2006/metadata/properties" ma:root="true" ma:fieldsID="a6513a40ddfb27e3d2edcf0be9557c41" ns2:_="" ns3:_="">
    <xsd:import namespace="7112d4b0-5493-499c-a8a1-c4cefa8f8360"/>
    <xsd:import namespace="5524ecfe-089c-425a-a4be-7743da73dd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2d4b0-5493-499c-a8a1-c4cefa8f836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58fa18b-5786-4974-b7f7-d3b37da9bfe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24ecfe-089c-425a-a4be-7743da73ddf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0c1eac91-b8be-4f7d-a1a0-d2f2d9fa7553}" ma:internalName="TaxCatchAll" ma:showField="CatchAllData" ma:web="5524ecfe-089c-425a-a4be-7743da73ddf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4F68B1-3040-4E0D-B799-432AFEB22658}"/>
</file>

<file path=customXml/itemProps2.xml><?xml version="1.0" encoding="utf-8"?>
<ds:datastoreItem xmlns:ds="http://schemas.openxmlformats.org/officeDocument/2006/customXml" ds:itemID="{0D5FDA06-2DB9-40CA-A224-BDAC92004891}"/>
</file>

<file path=customXml/itemProps3.xml><?xml version="1.0" encoding="utf-8"?>
<ds:datastoreItem xmlns:ds="http://schemas.openxmlformats.org/officeDocument/2006/customXml" ds:itemID="{51A7E844-2031-4B73-B608-21FD65AA82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fatma</dc:creator>
  <cp:keywords/>
  <dc:description/>
  <cp:lastModifiedBy/>
  <cp:revision/>
  <dcterms:created xsi:type="dcterms:W3CDTF">2015-06-05T18:17:20Z</dcterms:created>
  <dcterms:modified xsi:type="dcterms:W3CDTF">2026-04-05T10:08:57Z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0x010100CC4386AB3068CD42B8F0F14A3B25C6E6</vt:lpwstr>
  </property>
  <property fmtid="{D5CDD505-2E9C-101B-9397-08002B2CF9AE}" pid="3" name="MediaServiceImageTags">
    <vt:lpwstr/>
  </property>
</Properties>
</file>